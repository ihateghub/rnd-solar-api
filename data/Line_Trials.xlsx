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969" documentId="8_{1C15BC5C-F0C8-4765-B4CF-400137A11CD3}" xr6:coauthVersionLast="47" xr6:coauthVersionMax="47" xr10:uidLastSave="{C44AA6F7-B851-4D52-83BC-0D9BCEDCE18D}"/>
  <bookViews>
    <workbookView xWindow="-110" yWindow="-110" windowWidth="19420" windowHeight="10300" firstSheet="2" activeTab="2" xr2:uid="{2B24F8FE-376F-4C64-9F65-BEF7914CA6A2}"/>
  </bookViews>
  <sheets>
    <sheet name="Sheet1" sheetId="1" state="hidden" r:id="rId1"/>
    <sheet name="Sheet2" sheetId="2" state="hidden" r:id="rId2"/>
    <sheet name="Line Trial Fab 2" sheetId="3" r:id="rId3"/>
    <sheet name="Line Trial Fab 3" sheetId="4" r:id="rId4"/>
  </sheets>
  <externalReferences>
    <externalReference r:id="rId5"/>
  </externalReferences>
  <definedNames>
    <definedName name="_xlnm._FilterDatabase" localSheetId="2" hidden="1">'Line Trial Fab 2'!$A$5:$N$27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2" l="1"/>
  <c r="G109" i="2"/>
  <c r="H108" i="2"/>
  <c r="G108" i="2"/>
  <c r="I95" i="2"/>
  <c r="G95" i="2"/>
  <c r="J95" i="2" s="1"/>
  <c r="J94" i="2"/>
  <c r="K94" i="2" s="1"/>
  <c r="I94" i="2"/>
  <c r="G94" i="2"/>
  <c r="J93" i="2"/>
  <c r="L93" i="2" s="1"/>
  <c r="L92" i="2"/>
  <c r="K92" i="2"/>
  <c r="J92" i="2"/>
  <c r="J91" i="2"/>
  <c r="L91" i="2" s="1"/>
  <c r="L90" i="2"/>
  <c r="K90" i="2"/>
  <c r="J90" i="2"/>
  <c r="J89" i="2"/>
  <c r="L89" i="2" s="1"/>
  <c r="L88" i="2"/>
  <c r="K88" i="2"/>
  <c r="J88" i="2"/>
  <c r="K77" i="2"/>
  <c r="T77" i="2" s="1"/>
  <c r="S76" i="2"/>
  <c r="K76" i="2"/>
  <c r="T76" i="2" s="1"/>
  <c r="T75" i="2"/>
  <c r="K75" i="2"/>
  <c r="L74" i="2" s="1"/>
  <c r="U74" i="2" s="1"/>
  <c r="V74" i="2" s="1"/>
  <c r="W74" i="2" s="1"/>
  <c r="T74" i="2"/>
  <c r="S74" i="2"/>
  <c r="K74" i="2"/>
  <c r="K73" i="2"/>
  <c r="T73" i="2" s="1"/>
  <c r="S72" i="2"/>
  <c r="K72" i="2"/>
  <c r="T72" i="2" s="1"/>
  <c r="T71" i="2"/>
  <c r="K71" i="2"/>
  <c r="S70" i="2"/>
  <c r="K70" i="2"/>
  <c r="T70" i="2" s="1"/>
  <c r="K69" i="2"/>
  <c r="T69" i="2" s="1"/>
  <c r="S68" i="2"/>
  <c r="K68" i="2"/>
  <c r="L68" i="2" s="1"/>
  <c r="U68" i="2" s="1"/>
  <c r="K67" i="2"/>
  <c r="L66" i="2" s="1"/>
  <c r="U66" i="2" s="1"/>
  <c r="T66" i="2"/>
  <c r="S66" i="2"/>
  <c r="K66" i="2"/>
  <c r="T65" i="2"/>
  <c r="U64" i="2"/>
  <c r="W64" i="2" s="1"/>
  <c r="T64" i="2"/>
  <c r="T63" i="2"/>
  <c r="K63" i="2"/>
  <c r="S62" i="2"/>
  <c r="K62" i="2"/>
  <c r="T62" i="2" s="1"/>
  <c r="K51" i="2"/>
  <c r="T51" i="2" s="1"/>
  <c r="K50" i="2"/>
  <c r="T50" i="2" s="1"/>
  <c r="T49" i="2"/>
  <c r="S49" i="2"/>
  <c r="K49" i="2"/>
  <c r="L49" i="2" s="1"/>
  <c r="U49" i="2" s="1"/>
  <c r="T48" i="2"/>
  <c r="T47" i="2"/>
  <c r="T46" i="2"/>
  <c r="S46" i="2"/>
  <c r="L46" i="2"/>
  <c r="U46" i="2" s="1"/>
  <c r="T45" i="2"/>
  <c r="K45" i="2"/>
  <c r="S44" i="2"/>
  <c r="K44" i="2"/>
  <c r="T44" i="2" s="1"/>
  <c r="T43" i="2"/>
  <c r="K43" i="2"/>
  <c r="S42" i="2"/>
  <c r="K42" i="2"/>
  <c r="T42" i="2" s="1"/>
  <c r="K41" i="2"/>
  <c r="L40" i="2" s="1"/>
  <c r="U40" i="2" s="1"/>
  <c r="T40" i="2"/>
  <c r="S40" i="2"/>
  <c r="K40" i="2"/>
  <c r="K39" i="2"/>
  <c r="T39" i="2" s="1"/>
  <c r="S38" i="2"/>
  <c r="K38" i="2"/>
  <c r="T38" i="2" s="1"/>
  <c r="R37" i="2"/>
  <c r="R36" i="2"/>
  <c r="L36" i="2"/>
  <c r="U36" i="2" s="1"/>
  <c r="K35" i="2"/>
  <c r="T35" i="2" s="1"/>
  <c r="S34" i="2"/>
  <c r="K34" i="2"/>
  <c r="T34" i="2" s="1"/>
  <c r="T33" i="2"/>
  <c r="T32" i="2"/>
  <c r="U31" i="2"/>
  <c r="V31" i="2" s="1"/>
  <c r="T31" i="2"/>
  <c r="S31" i="2"/>
  <c r="L31" i="2"/>
  <c r="R30" i="2"/>
  <c r="K30" i="2"/>
  <c r="T30" i="2" s="1"/>
  <c r="U29" i="2"/>
  <c r="W29" i="2" s="1"/>
  <c r="R29" i="2"/>
  <c r="K29" i="2"/>
  <c r="K36" i="2" s="1"/>
  <c r="T36" i="2" s="1"/>
  <c r="T28" i="2"/>
  <c r="K28" i="2"/>
  <c r="S27" i="2"/>
  <c r="K27" i="2"/>
  <c r="T27" i="2" s="1"/>
  <c r="K26" i="2"/>
  <c r="T26" i="2" s="1"/>
  <c r="S25" i="2"/>
  <c r="K25" i="2"/>
  <c r="T25" i="2" s="1"/>
  <c r="T24" i="2"/>
  <c r="T23" i="2"/>
  <c r="AJ22" i="2"/>
  <c r="U22" i="2"/>
  <c r="V22" i="2" s="1"/>
  <c r="T22" i="2"/>
  <c r="S22" i="2"/>
  <c r="L22" i="2"/>
  <c r="AJ21" i="2"/>
  <c r="T21" i="2"/>
  <c r="AJ20" i="2"/>
  <c r="T20" i="2"/>
  <c r="AJ19" i="2"/>
  <c r="T19" i="2"/>
  <c r="S19" i="2"/>
  <c r="U19" i="2" s="1"/>
  <c r="L19" i="2"/>
  <c r="AJ18" i="2"/>
  <c r="T18" i="2"/>
  <c r="AJ17" i="2"/>
  <c r="T17" i="2"/>
  <c r="T16" i="2"/>
  <c r="S16" i="2"/>
  <c r="L16" i="2"/>
  <c r="U16" i="2" s="1"/>
  <c r="T15" i="2"/>
  <c r="U14" i="2"/>
  <c r="W14" i="2" s="1"/>
  <c r="T14" i="2"/>
  <c r="K13" i="2"/>
  <c r="T13" i="2" s="1"/>
  <c r="T12" i="2"/>
  <c r="S12" i="2"/>
  <c r="L12" i="2"/>
  <c r="U12" i="2" s="1"/>
  <c r="K12" i="2"/>
  <c r="U10" i="2"/>
  <c r="W10" i="2" s="1"/>
  <c r="R10" i="2"/>
  <c r="K10" i="2"/>
  <c r="T10" i="2" s="1"/>
  <c r="R9" i="2"/>
  <c r="K9" i="2"/>
  <c r="T9" i="2" s="1"/>
  <c r="R8" i="2"/>
  <c r="K8" i="2"/>
  <c r="T8" i="2" s="1"/>
  <c r="U8" i="2" s="1"/>
  <c r="R7" i="2"/>
  <c r="K7" i="2"/>
  <c r="T7" i="2" s="1"/>
  <c r="U6" i="2"/>
  <c r="W6" i="2" s="1"/>
  <c r="R6" i="2"/>
  <c r="T6" i="2" s="1"/>
  <c r="K6" i="2"/>
  <c r="V46" i="2" l="1"/>
  <c r="W46" i="2"/>
  <c r="W12" i="2"/>
  <c r="V12" i="2"/>
  <c r="V49" i="2"/>
  <c r="W49" i="2"/>
  <c r="W40" i="2"/>
  <c r="V40" i="2"/>
  <c r="V36" i="2"/>
  <c r="W36" i="2"/>
  <c r="L95" i="2"/>
  <c r="K95" i="2"/>
  <c r="W19" i="2"/>
  <c r="V19" i="2"/>
  <c r="W8" i="2"/>
  <c r="V8" i="2"/>
  <c r="W66" i="2"/>
  <c r="V66" i="2"/>
  <c r="W68" i="2"/>
  <c r="V68" i="2"/>
  <c r="W16" i="2"/>
  <c r="V16" i="2"/>
  <c r="L72" i="2"/>
  <c r="U72" i="2" s="1"/>
  <c r="K91" i="2"/>
  <c r="L94" i="2"/>
  <c r="V6" i="2"/>
  <c r="W22" i="2"/>
  <c r="T29" i="2"/>
  <c r="W31" i="2"/>
  <c r="L38" i="2"/>
  <c r="U38" i="2" s="1"/>
  <c r="L27" i="2"/>
  <c r="U27" i="2" s="1"/>
  <c r="V29" i="2"/>
  <c r="L44" i="2"/>
  <c r="U44" i="2" s="1"/>
  <c r="L70" i="2"/>
  <c r="U70" i="2" s="1"/>
  <c r="T67" i="2"/>
  <c r="L34" i="2"/>
  <c r="U34" i="2" s="1"/>
  <c r="V64" i="2"/>
  <c r="L25" i="2"/>
  <c r="U25" i="2" s="1"/>
  <c r="L42" i="2"/>
  <c r="U42" i="2" s="1"/>
  <c r="V42" i="2" s="1"/>
  <c r="W42" i="2" s="1"/>
  <c r="L76" i="2"/>
  <c r="U76" i="2" s="1"/>
  <c r="K89" i="2"/>
  <c r="K93" i="2"/>
  <c r="V10" i="2"/>
  <c r="L62" i="2"/>
  <c r="U62" i="2" s="1"/>
  <c r="V14" i="2"/>
  <c r="K37" i="2"/>
  <c r="T37" i="2" s="1"/>
  <c r="T68" i="2"/>
  <c r="T41" i="2"/>
  <c r="V34" i="2" l="1"/>
  <c r="W34" i="2"/>
  <c r="W72" i="2"/>
  <c r="V72" i="2"/>
  <c r="W27" i="2"/>
  <c r="V27" i="2"/>
  <c r="W38" i="2"/>
  <c r="V38" i="2"/>
  <c r="W44" i="2"/>
  <c r="V44" i="2"/>
  <c r="V62" i="2"/>
  <c r="W62" i="2"/>
  <c r="V25" i="2"/>
  <c r="W25" i="2"/>
  <c r="W70" i="2"/>
  <c r="V70" i="2"/>
  <c r="V76" i="2"/>
  <c r="W76" i="2"/>
</calcChain>
</file>

<file path=xl/sharedStrings.xml><?xml version="1.0" encoding="utf-8"?>
<sst xmlns="http://schemas.openxmlformats.org/spreadsheetml/2006/main" count="919" uniqueCount="312">
  <si>
    <t xml:space="preserve">Sl No. </t>
  </si>
  <si>
    <t>Commodity</t>
  </si>
  <si>
    <t>Country</t>
  </si>
  <si>
    <t xml:space="preserve">Vendor </t>
  </si>
  <si>
    <t xml:space="preserve">PO </t>
  </si>
  <si>
    <t>Technical Specification</t>
  </si>
  <si>
    <t>Quantity</t>
  </si>
  <si>
    <t>GRN Date</t>
  </si>
  <si>
    <t>Consumption Date</t>
  </si>
  <si>
    <t>Batch No</t>
  </si>
  <si>
    <t>Material Code</t>
  </si>
  <si>
    <t>Status as on 21.10.25</t>
  </si>
  <si>
    <t xml:space="preserve">Encapsulant </t>
  </si>
  <si>
    <t>Vietnam</t>
  </si>
  <si>
    <t xml:space="preserve">Cymax </t>
  </si>
  <si>
    <t>FRONT EPE 1120MMX0.55MM_BACK EVA TRANSPT FCURE 0.50MM 1125MM</t>
  </si>
  <si>
    <t>8,601.60_8640</t>
  </si>
  <si>
    <t>16.05.25</t>
  </si>
  <si>
    <t>03460325FA</t>
  </si>
  <si>
    <t>101600010011
100500030010</t>
  </si>
  <si>
    <t>Didn’t pass line trial for 420-400 GSM, 460-440 GSM passed</t>
  </si>
  <si>
    <t>Betterial</t>
  </si>
  <si>
    <t>08.04.2025</t>
  </si>
  <si>
    <t>03680325FA</t>
  </si>
  <si>
    <t>Didn’t pass line trial for 420-400 GSM</t>
  </si>
  <si>
    <t>China</t>
  </si>
  <si>
    <t>HANGZHOU FIRST</t>
  </si>
  <si>
    <t>EPE-0.55*1120/EVA-0,50*1125,GSM-420-400</t>
  </si>
  <si>
    <t>8870.4_9,180</t>
  </si>
  <si>
    <t>23.05.2025</t>
  </si>
  <si>
    <t>00180425FA</t>
  </si>
  <si>
    <t>Line Trial done, reports shared</t>
  </si>
  <si>
    <t>Split JB</t>
  </si>
  <si>
    <t>QC SOLAR</t>
  </si>
  <si>
    <t>SPLIT JB 1500V(IEC/UL)-0.30/.20METER +VE/-VE/CENTRE_30A</t>
  </si>
  <si>
    <t>19.06.2025</t>
  </si>
  <si>
    <t>15.07.25</t>
  </si>
  <si>
    <t>01130425FA</t>
  </si>
  <si>
    <t>Line Trial done,reports yet to be received</t>
  </si>
  <si>
    <t>UKTR</t>
  </si>
  <si>
    <t>JB SPLIT 1500V (IEC)-0.2M_ +VE_  30A_BD_-VE_30A_CENTRE_30A</t>
  </si>
  <si>
    <t>19.08.2025
23.08.2025</t>
  </si>
  <si>
    <t>20.08.25
25.08.25</t>
  </si>
  <si>
    <t>01000725FB
01000725FD
01000725FA</t>
  </si>
  <si>
    <t>101000070141
101000070129
101000070055</t>
  </si>
  <si>
    <t xml:space="preserve">No update </t>
  </si>
  <si>
    <t>Ribbon</t>
  </si>
  <si>
    <t>Laos</t>
  </si>
  <si>
    <t>Wetown</t>
  </si>
  <si>
    <t>INTC RIBBON DIA 0.24MM FOR MBB_BUS RIBBON 5MMX400 MN</t>
  </si>
  <si>
    <t>32_8</t>
  </si>
  <si>
    <t>23.07.2025</t>
  </si>
  <si>
    <t>25.07.25</t>
  </si>
  <si>
    <t>03760625FA</t>
  </si>
  <si>
    <t>100600010010
100200010045</t>
  </si>
  <si>
    <t>Waiting for CAPA from vendor for further evaluation</t>
  </si>
  <si>
    <t>Al Frame</t>
  </si>
  <si>
    <t>Malaysia</t>
  </si>
  <si>
    <t>Future Aluminium</t>
  </si>
  <si>
    <t>AL FRAME(L)-2278X30X30_4MM-GLUE_AL FRAME(S)-1134X30X12_4MM-GLUE</t>
  </si>
  <si>
    <t>26.06.2025</t>
  </si>
  <si>
    <t>03.07.25</t>
  </si>
  <si>
    <t>02590524TA</t>
  </si>
  <si>
    <t>100900060208
100900050207</t>
  </si>
  <si>
    <t>VIETNAM FIRST</t>
  </si>
  <si>
    <t>FRONT EPE 1120MMX0.55MM_BACK EVA TRANSPT FCURE 0.50MM 1125MM, GSM-420-400</t>
  </si>
  <si>
    <t>8131.2_8,415</t>
  </si>
  <si>
    <t>29.08.2025</t>
  </si>
  <si>
    <t>03330725FD</t>
  </si>
  <si>
    <t>Materials received, waiting for reports</t>
  </si>
  <si>
    <t>Sealant</t>
  </si>
  <si>
    <t>MINGHAO</t>
  </si>
  <si>
    <t>Sealant_Potting A_Potting B</t>
  </si>
  <si>
    <t>270_20_2</t>
  </si>
  <si>
    <t>25.09.2025</t>
  </si>
  <si>
    <t>01830825FA</t>
  </si>
  <si>
    <t>101100020004
101100010003
100800010012</t>
  </si>
  <si>
    <t>Blocking Diode</t>
  </si>
  <si>
    <t>Shanghai SDO Energy</t>
  </si>
  <si>
    <t>Blocking Diode for Junction Box</t>
  </si>
  <si>
    <t>35,000(9,400)</t>
  </si>
  <si>
    <t>10.10.25</t>
  </si>
  <si>
    <t>Materials Received on 10.10.25</t>
  </si>
  <si>
    <t>Hornby</t>
  </si>
  <si>
    <t>Under process</t>
  </si>
  <si>
    <t>LUSHAN</t>
  </si>
  <si>
    <t>8,601.60_8,910</t>
  </si>
  <si>
    <t>Cambodia</t>
  </si>
  <si>
    <t>ALUVOLTEC-YS METALS</t>
  </si>
  <si>
    <t>HIUV</t>
  </si>
  <si>
    <t>HIUV Line unavilability, capacity booked till December</t>
  </si>
  <si>
    <t>Silande</t>
  </si>
  <si>
    <t>Waiting for approval</t>
  </si>
  <si>
    <t>Rhine Vietnam</t>
  </si>
  <si>
    <t>Checking price competitiveness</t>
  </si>
  <si>
    <t>India</t>
  </si>
  <si>
    <t>Radial Solar(Sinotech)</t>
  </si>
  <si>
    <t>Existing Vendors</t>
  </si>
  <si>
    <t>New Vendors</t>
  </si>
  <si>
    <t>Sl No.</t>
  </si>
  <si>
    <t>Incoterm</t>
  </si>
  <si>
    <t>Unit of Measurement</t>
  </si>
  <si>
    <t>Vendor Name</t>
  </si>
  <si>
    <t>PO No.</t>
  </si>
  <si>
    <t>Specifications</t>
  </si>
  <si>
    <t>Currency
(in Rs/US$)</t>
  </si>
  <si>
    <t>Price
(per unit)</t>
  </si>
  <si>
    <t xml:space="preserve"> Total Price</t>
  </si>
  <si>
    <t>Quotations as on</t>
  </si>
  <si>
    <t>Total Price</t>
  </si>
  <si>
    <t>Change in Price
(Commodity wise)</t>
  </si>
  <si>
    <t>Change in Total Price</t>
  </si>
  <si>
    <t>$/wp
Rs/wp</t>
  </si>
  <si>
    <t>% Change in Price</t>
  </si>
  <si>
    <t>Reason for Development</t>
  </si>
  <si>
    <t>Business Case</t>
  </si>
  <si>
    <t>Testing Cost</t>
  </si>
  <si>
    <t>Certification Cost</t>
  </si>
  <si>
    <t>Total Cost</t>
  </si>
  <si>
    <t>AL. Frame</t>
  </si>
  <si>
    <t>CIF</t>
  </si>
  <si>
    <t>SETS</t>
  </si>
  <si>
    <t>Ralpro (Fabrink)</t>
  </si>
  <si>
    <t>2278*30*30mm</t>
  </si>
  <si>
    <t>Rs.</t>
  </si>
  <si>
    <t>EXW</t>
  </si>
  <si>
    <t>INEX (Excellence Enigmac)</t>
  </si>
  <si>
    <t>Cost competitive</t>
  </si>
  <si>
    <t>Inex</t>
  </si>
  <si>
    <t>1134*30*12mm</t>
  </si>
  <si>
    <t>FOB</t>
  </si>
  <si>
    <t>US$</t>
  </si>
  <si>
    <t>Alternative Supplier</t>
  </si>
  <si>
    <t>Rhine</t>
  </si>
  <si>
    <t>JB</t>
  </si>
  <si>
    <t>FOR</t>
  </si>
  <si>
    <t>Dhash PV</t>
  </si>
  <si>
    <t>JB Split 30A</t>
  </si>
  <si>
    <t xml:space="preserve">Shankshila </t>
  </si>
  <si>
    <t>No cost competitive</t>
  </si>
  <si>
    <t>Shankshila</t>
  </si>
  <si>
    <t>Magma(Fancy Fittings)</t>
  </si>
  <si>
    <t>Encapsulant</t>
  </si>
  <si>
    <t>SQM</t>
  </si>
  <si>
    <t>Vietnam First Applied</t>
  </si>
  <si>
    <t>EPE GSM-460</t>
  </si>
  <si>
    <t>Rs</t>
  </si>
  <si>
    <t>Sunbez</t>
  </si>
  <si>
    <t>EPE GSM-440</t>
  </si>
  <si>
    <t xml:space="preserve">Domestic Vendor </t>
  </si>
  <si>
    <t>EVA GSM-440</t>
  </si>
  <si>
    <t>EVA GSM-420</t>
  </si>
  <si>
    <t xml:space="preserve">Hangzhou First </t>
  </si>
  <si>
    <t>EPE GSM-420</t>
  </si>
  <si>
    <t>HIUV (Vietnam)</t>
  </si>
  <si>
    <t>Cost Competitive</t>
  </si>
  <si>
    <t>EVA GSM-400</t>
  </si>
  <si>
    <t>KGS</t>
  </si>
  <si>
    <t>Adarsha</t>
  </si>
  <si>
    <t>Fasto Adhesive</t>
  </si>
  <si>
    <t>Cost Competitive &amp; alternative supplier</t>
  </si>
  <si>
    <t>Fasto</t>
  </si>
  <si>
    <t>Potting A</t>
  </si>
  <si>
    <t>Al. Frame</t>
  </si>
  <si>
    <t>Potting B</t>
  </si>
  <si>
    <t>Taicang Juren International</t>
  </si>
  <si>
    <t>INTC-0.24MM</t>
  </si>
  <si>
    <t>China
Laos</t>
  </si>
  <si>
    <t>Jiangsu Wetown</t>
  </si>
  <si>
    <t>Ribbon, Cell Flux</t>
  </si>
  <si>
    <t>BUS 4*0.35 MM</t>
  </si>
  <si>
    <t>Glass</t>
  </si>
  <si>
    <t>BUS 6*0.35 MM</t>
  </si>
  <si>
    <t>Sealant &amp; Potting</t>
  </si>
  <si>
    <t>H.B. Fuller (SUZHOU) ADVANCED</t>
  </si>
  <si>
    <t xml:space="preserve">SEALANT </t>
  </si>
  <si>
    <t>Minghao</t>
  </si>
  <si>
    <t>POTTING A</t>
  </si>
  <si>
    <t>POTTING B</t>
  </si>
  <si>
    <t>Alishan Green</t>
  </si>
  <si>
    <t>EPE GSM-461</t>
  </si>
  <si>
    <t>Sheetsol</t>
  </si>
  <si>
    <t>EVA GSM-441</t>
  </si>
  <si>
    <t>Yonz Technology</t>
  </si>
  <si>
    <t>Aluvoltec (YS Metals)</t>
  </si>
  <si>
    <t>Elkem</t>
  </si>
  <si>
    <t>Thailand</t>
  </si>
  <si>
    <t>First Material Science</t>
  </si>
  <si>
    <t>Knack Energy</t>
  </si>
  <si>
    <t>Vishakha (Al. Frame)</t>
  </si>
  <si>
    <t>Xinyi Malaysia</t>
  </si>
  <si>
    <t>2TX2272X1128MM GLASS(HTARC)</t>
  </si>
  <si>
    <t>Vishakha (Glass)</t>
  </si>
  <si>
    <t xml:space="preserve">2mm HTARC Front </t>
  </si>
  <si>
    <t>TEMPERED2TX2272X1128MMSLOTTED(NARC)_W</t>
  </si>
  <si>
    <t>2mm Back</t>
  </si>
  <si>
    <t>EPE GSM-459</t>
  </si>
  <si>
    <t>Vishakha (Encapsulation)</t>
  </si>
  <si>
    <t>EVA GSM-439</t>
  </si>
  <si>
    <t xml:space="preserve">Changzhou Sveck </t>
  </si>
  <si>
    <t>Lushan (Malaysia)</t>
  </si>
  <si>
    <t>Geba Cables</t>
  </si>
  <si>
    <t>0.24 mm</t>
  </si>
  <si>
    <t>5*0.4 mm</t>
  </si>
  <si>
    <t>6*0.35 mm</t>
  </si>
  <si>
    <t>Sl. No</t>
  </si>
  <si>
    <t>Price</t>
  </si>
  <si>
    <t>Change in Price</t>
  </si>
  <si>
    <t>Price/WP</t>
  </si>
  <si>
    <t>First (Vietnam)</t>
  </si>
  <si>
    <t>Sunbez(India)</t>
  </si>
  <si>
    <t>First (China)</t>
  </si>
  <si>
    <t>Sheetsol(India)</t>
  </si>
  <si>
    <t>First (Thailand)</t>
  </si>
  <si>
    <t>Knack Energy(India)</t>
  </si>
  <si>
    <t>Vishakha (India)</t>
  </si>
  <si>
    <t>Sveck(China)</t>
  </si>
  <si>
    <t>Price 1</t>
  </si>
  <si>
    <t>Price2</t>
  </si>
  <si>
    <t>Line Trial Pending as on 25.11.25</t>
  </si>
  <si>
    <t>Department</t>
  </si>
  <si>
    <t>Location</t>
  </si>
  <si>
    <t>Status as on 25.11.25</t>
  </si>
  <si>
    <t>R&amp;D</t>
  </si>
  <si>
    <t>Fab 2</t>
  </si>
  <si>
    <t>Waiting for line availability</t>
  </si>
  <si>
    <t>Production</t>
  </si>
  <si>
    <t>Fab 4</t>
  </si>
  <si>
    <t>Fab 5</t>
  </si>
  <si>
    <t>Waiting for line availability, 90408  ordr number</t>
  </si>
  <si>
    <t>R&amp;D,
Production</t>
  </si>
  <si>
    <t>R&amp;D, 
Production</t>
  </si>
  <si>
    <t>16.11.25</t>
  </si>
  <si>
    <t>03860925FA</t>
  </si>
  <si>
    <t>100500030010
101600010011</t>
  </si>
  <si>
    <t>FRONT EPE 1120MMX0.55MM_BACK EVA TRANSPT FCURE 0.50MM 1125MM (420_400 GSM)</t>
  </si>
  <si>
    <t>22.40_22.50</t>
  </si>
  <si>
    <t>20.11.25</t>
  </si>
  <si>
    <t>03861025FA</t>
  </si>
  <si>
    <t>Line trial completed</t>
  </si>
  <si>
    <t>Fab 9</t>
  </si>
  <si>
    <t>Fab 10</t>
  </si>
  <si>
    <t>26.10.25</t>
  </si>
  <si>
    <t>Xinyi</t>
  </si>
  <si>
    <t>TEMPERED 2TX2376X1128MM GLASS(HTARC) _TEMPERED 2TX2376X1128MM SLOT(N-ARC)WHITE</t>
  </si>
  <si>
    <t>23.09.25</t>
  </si>
  <si>
    <t>00720825FA</t>
  </si>
  <si>
    <t>Hangzhou First</t>
  </si>
  <si>
    <t>FRONT EPE 1120MMX0.55MM_Back EPE 1125MMX0.60MM</t>
  </si>
  <si>
    <t>806.4_810</t>
  </si>
  <si>
    <t>00180825FA</t>
  </si>
  <si>
    <t>101600010011
101600010005</t>
  </si>
  <si>
    <t>Waiting for PVEL witnessing at Fab 2</t>
  </si>
  <si>
    <t>Jiangsu Yuejia</t>
  </si>
  <si>
    <t>02450925FB</t>
  </si>
  <si>
    <t>AL.FRAME(L)-2382X30X30X4MM-GLUE_G12R_AL FRAME(S)-1134X30X12X4MM-GLUE_G12R</t>
  </si>
  <si>
    <t>24.10.25</t>
  </si>
  <si>
    <t>02450925FA</t>
  </si>
  <si>
    <t>100900060219
100900050218</t>
  </si>
  <si>
    <t>SUZHOU UKT</t>
  </si>
  <si>
    <t>JB SPLIT 1500V(IEC)0.4M_+VE_30A_BD_JB SPLIT 1500V (IEC)-0.4M_-VE_30A_JB SPLIT 1500V(IEC/UL) CENTRE_30A</t>
  </si>
  <si>
    <t>14.08.2025</t>
  </si>
  <si>
    <t>01000825FA</t>
  </si>
  <si>
    <t>101000070142
101000070130
101000070055</t>
  </si>
  <si>
    <t>ZJRH</t>
  </si>
  <si>
    <t>14.08.2026</t>
  </si>
  <si>
    <t>01070725FA</t>
  </si>
  <si>
    <t>TAICANG JUREN</t>
  </si>
  <si>
    <t>BUS RIBBON 6MMX350MN_BUS RIBBON 4MMX350 MN</t>
  </si>
  <si>
    <t>10.80_15.20</t>
  </si>
  <si>
    <t>27.08.25</t>
  </si>
  <si>
    <t>03050825FA</t>
  </si>
  <si>
    <t>100600010006
100600010008</t>
  </si>
  <si>
    <t>10.80_15.21</t>
  </si>
  <si>
    <t>27.08.26</t>
  </si>
  <si>
    <t>Indonesia</t>
  </si>
  <si>
    <t>R&amp;D,
SCM</t>
  </si>
  <si>
    <t>Jolywood</t>
  </si>
  <si>
    <t>BACK EVA TRANSPT FCURE 0.50MM 1125MM_FRONT EPE 1120MMX0.55MM</t>
  </si>
  <si>
    <t>20_20</t>
  </si>
  <si>
    <t>19.10.2025</t>
  </si>
  <si>
    <t>03820925FA</t>
  </si>
  <si>
    <t>-</t>
  </si>
  <si>
    <t>4_4</t>
  </si>
  <si>
    <t>28.11.2025</t>
  </si>
  <si>
    <t>03761125FA</t>
  </si>
  <si>
    <t>100600010006, 100600010008</t>
  </si>
  <si>
    <t>INTC RIBBON DIA 0.24MM FOR MBB</t>
  </si>
  <si>
    <t>Vientiane Energy</t>
  </si>
  <si>
    <t>03881125FA</t>
  </si>
  <si>
    <t xml:space="preserve">Ribbon </t>
  </si>
  <si>
    <t>Fab 3</t>
  </si>
  <si>
    <t>Valeo LLP</t>
  </si>
  <si>
    <t>.24 INTC, 4*.35, 6*.35</t>
  </si>
  <si>
    <t>16_4_4</t>
  </si>
  <si>
    <t>04.09.2025</t>
  </si>
  <si>
    <t>20070825TA</t>
  </si>
  <si>
    <t>100600010008
100200010045
100600010006</t>
  </si>
  <si>
    <t>Genex</t>
  </si>
  <si>
    <t>JB SPLIT 1500V(IEC/UL)-0.40METER +VE_30A</t>
  </si>
  <si>
    <t>14.08.25</t>
  </si>
  <si>
    <t>03560825TA</t>
  </si>
  <si>
    <t>101000070055
101000070056
101000070126</t>
  </si>
  <si>
    <t>Vishakha</t>
  </si>
  <si>
    <t>EPE-0.55*1120/EVA-0.50*1125,GSM-460-440</t>
  </si>
  <si>
    <t>50 M2</t>
  </si>
  <si>
    <t>16.07.25</t>
  </si>
  <si>
    <t>02860725TA</t>
  </si>
  <si>
    <t>100500030010
100500010011</t>
  </si>
  <si>
    <t>Line Trial Pending as on 28.01.26</t>
  </si>
  <si>
    <t>Frame</t>
  </si>
  <si>
    <t>Aluvoltec (Singapore)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</si>
</sst>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0.000E+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2" fontId="5" fillId="0" borderId="0" xfId="0" applyNumberFormat="1" applyFont="1" applyAlignment="1">
      <alignment horizontal="center" vertical="center" wrapText="1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vertical="center" wrapText="1"/>
    </xf>
    <xf numFmtId="166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165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1" fontId="10" fillId="9" borderId="1" xfId="0" applyNumberFormat="1" applyFont="1" applyFill="1" applyBorder="1" applyAlignment="1">
      <alignment horizontal="center" vertical="center" wrapText="1"/>
    </xf>
    <xf numFmtId="0" fontId="10" fillId="9" borderId="0" xfId="0" applyFont="1" applyFill="1"/>
    <xf numFmtId="0" fontId="1" fillId="10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2" fontId="1" fillId="0" borderId="5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 wrapText="1"/>
    </xf>
    <xf numFmtId="165" fontId="5" fillId="0" borderId="7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65" fontId="5" fillId="0" borderId="10" xfId="0" applyNumberFormat="1" applyFont="1" applyBorder="1" applyAlignment="1">
      <alignment horizontal="center" vertical="center" wrapText="1"/>
    </xf>
    <xf numFmtId="2" fontId="5" fillId="0" borderId="5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" fontId="5" fillId="0" borderId="7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2" fontId="1" fillId="0" borderId="5" xfId="0" applyNumberFormat="1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164" fontId="5" fillId="0" borderId="7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4" fontId="1" fillId="0" borderId="5" xfId="0" applyNumberFormat="1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7" fontId="5" fillId="0" borderId="5" xfId="0" applyNumberFormat="1" applyFont="1" applyBorder="1" applyAlignment="1">
      <alignment horizontal="center" vertical="center" wrapText="1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7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</cellXfs>
  <cellStyles count="2">
    <cellStyle name="Hyperlink" xfId="1" builtinId="8"/>
    <cellStyle name="Normal" xfId="0" builtinId="0"/>
  </cellStyles>
  <dxfs count="47">
    <dxf>
      <fill>
        <gradientFill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>
          <stop position="0">
            <color theme="0"/>
          </stop>
          <stop position="1">
            <color rgb="FFFF0000"/>
          </stop>
        </gradientFill>
      </fill>
    </dxf>
    <dxf>
      <fill>
        <gradientFill>
          <stop position="0">
            <color theme="0"/>
          </stop>
          <stop position="1">
            <color rgb="FFFFFF00"/>
          </stop>
        </gradientFill>
      </fill>
    </dxf>
    <dxf>
      <fill>
        <gradientFill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>
          <stop position="0">
            <color theme="0"/>
          </stop>
          <stop position="1">
            <color rgb="FFFF0000"/>
          </stop>
        </gradientFill>
      </fill>
    </dxf>
    <dxf>
      <fill>
        <gradientFill>
          <stop position="0">
            <color theme="0"/>
          </stop>
          <stop position="1">
            <color rgb="FFFFFF00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rgb="FFF46C6C"/>
        </patternFill>
      </fill>
    </dxf>
    <dxf>
      <fill>
        <patternFill>
          <bgColor rgb="FFFF4B4B"/>
        </patternFill>
      </fill>
    </dxf>
    <dxf>
      <fill>
        <patternFill>
          <bgColor rgb="FFFF4B4B"/>
        </patternFill>
      </fill>
    </dxf>
    <dxf>
      <fill>
        <patternFill>
          <bgColor rgb="FFF46C6C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C0E597"/>
        </patternFill>
      </fill>
    </dxf>
    <dxf>
      <font>
        <color theme="1"/>
      </font>
      <fill>
        <patternFill>
          <bgColor rgb="FFFF8989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FF66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66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'[1]Cost Comparison'!$G$101</c:f>
              <c:strCache>
                <c:ptCount val="1"/>
                <c:pt idx="0">
                  <c:v>Price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'[1]Cost Comparison'!$G$102:$G$109</c:f>
              <c:numCache>
                <c:formatCode>General</c:formatCode>
                <c:ptCount val="8"/>
                <c:pt idx="0">
                  <c:v>142.9924</c:v>
                </c:pt>
                <c:pt idx="1">
                  <c:v>382.5</c:v>
                </c:pt>
                <c:pt idx="2">
                  <c:v>142.9924</c:v>
                </c:pt>
                <c:pt idx="3">
                  <c:v>142.9924</c:v>
                </c:pt>
                <c:pt idx="4">
                  <c:v>142.9924</c:v>
                </c:pt>
                <c:pt idx="5">
                  <c:v>142.9924</c:v>
                </c:pt>
                <c:pt idx="6">
                  <c:v>142.9924</c:v>
                </c:pt>
                <c:pt idx="7">
                  <c:v>142.9924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DD-4A51-90F9-00D6E4F65DA1}"/>
            </c:ext>
          </c:extLst>
        </c:ser>
        <c:ser>
          <c:idx val="1"/>
          <c:order val="1"/>
          <c:tx>
            <c:strRef>
              <c:f>'[1]Cost Comparison'!$H$101</c:f>
              <c:strCache>
                <c:ptCount val="1"/>
                <c:pt idx="0">
                  <c:v>Price2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'[1]Cost Comparison'!$H$102:$H$109</c:f>
              <c:numCache>
                <c:formatCode>General</c:formatCode>
                <c:ptCount val="8"/>
                <c:pt idx="0">
                  <c:v>165</c:v>
                </c:pt>
                <c:pt idx="1">
                  <c:v>370</c:v>
                </c:pt>
                <c:pt idx="2">
                  <c:v>179</c:v>
                </c:pt>
                <c:pt idx="3">
                  <c:v>181</c:v>
                </c:pt>
                <c:pt idx="4">
                  <c:v>165</c:v>
                </c:pt>
                <c:pt idx="5">
                  <c:v>175</c:v>
                </c:pt>
                <c:pt idx="6">
                  <c:v>121.45739999999999</c:v>
                </c:pt>
                <c:pt idx="7">
                  <c:v>126.6258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DD-4A51-90F9-00D6E4F65DA1}"/>
            </c:ext>
          </c:extLst>
        </c:ser>
        <c:ser>
          <c:idx val="2"/>
          <c:order val="2"/>
          <c:tx>
            <c:strRef>
              <c:f>'[1]Cost Comparison'!$I$101</c:f>
              <c:strCache>
                <c:ptCount val="1"/>
                <c:pt idx="0">
                  <c:v>% Change in Price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'[1]Cost Comparison'!$I$102:$I$109</c:f>
              <c:numCache>
                <c:formatCode>General</c:formatCode>
                <c:ptCount val="8"/>
                <c:pt idx="0">
                  <c:v>-15.390748039755955</c:v>
                </c:pt>
                <c:pt idx="1">
                  <c:v>3.2679738562091507</c:v>
                </c:pt>
                <c:pt idx="2">
                  <c:v>-25.181478176462523</c:v>
                </c:pt>
                <c:pt idx="3">
                  <c:v>-26.580153910277748</c:v>
                </c:pt>
                <c:pt idx="4">
                  <c:v>-15.390748039755955</c:v>
                </c:pt>
                <c:pt idx="5">
                  <c:v>-22.384126708832074</c:v>
                </c:pt>
                <c:pt idx="6">
                  <c:v>15.060240963855428</c:v>
                </c:pt>
                <c:pt idx="7">
                  <c:v>11.445783132530124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DD-4A51-90F9-00D6E4F65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0467024"/>
        <c:axId val="1130457424"/>
      </c:barChart>
      <c:catAx>
        <c:axId val="1130467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57424"/>
        <c:crosses val="autoZero"/>
        <c:auto val="1"/>
        <c:lblAlgn val="ctr"/>
        <c:lblOffset val="100"/>
        <c:noMultiLvlLbl val="0"/>
      </c:catAx>
      <c:valAx>
        <c:axId val="113045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49893</xdr:colOff>
      <xdr:row>98</xdr:row>
      <xdr:rowOff>175078</xdr:rowOff>
    </xdr:from>
    <xdr:to>
      <xdr:col>16</xdr:col>
      <xdr:colOff>122464</xdr:colOff>
      <xdr:row>113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12E5C-32E0-4D9A-8A29-4198718D1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ikramsolar0-my.sharepoint.com/personal/bidisha_saha_vikramsolar_com/Documents/One%20Drive%20shared%20file/UPDATES/Update-October,2025/Updates-10.10.25.xlsx" TargetMode="External"/><Relationship Id="rId1" Type="http://schemas.openxmlformats.org/officeDocument/2006/relationships/externalLinkPath" Target="Updates-10.10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P Nos"/>
      <sheetName val="ABP Targets"/>
      <sheetName val="NVD"/>
      <sheetName val="Sheet6"/>
      <sheetName val="Status"/>
      <sheetName val="Cost Comparison"/>
      <sheetName val="Sheet5"/>
      <sheetName val="Sheet1"/>
      <sheetName val="Sheet2"/>
      <sheetName val="Sheet3"/>
      <sheetName val="Sheet4"/>
    </sheetNames>
    <sheetDataSet>
      <sheetData sheetId="0"/>
      <sheetData sheetId="1"/>
      <sheetData sheetId="2"/>
      <sheetData sheetId="3"/>
      <sheetData sheetId="4"/>
      <sheetData sheetId="5">
        <row r="101">
          <cell r="G101" t="str">
            <v>Price 1</v>
          </cell>
          <cell r="H101" t="str">
            <v>Price2</v>
          </cell>
          <cell r="I101" t="str">
            <v>% Change in Price</v>
          </cell>
        </row>
        <row r="102">
          <cell r="G102">
            <v>142.9924</v>
          </cell>
          <cell r="H102">
            <v>165</v>
          </cell>
          <cell r="I102">
            <v>-15.390748039755955</v>
          </cell>
        </row>
        <row r="103">
          <cell r="G103">
            <v>382.5</v>
          </cell>
          <cell r="H103">
            <v>370</v>
          </cell>
          <cell r="I103">
            <v>3.2679738562091507</v>
          </cell>
        </row>
        <row r="104">
          <cell r="G104">
            <v>142.9924</v>
          </cell>
          <cell r="H104">
            <v>179</v>
          </cell>
          <cell r="I104">
            <v>-25.181478176462523</v>
          </cell>
        </row>
        <row r="105">
          <cell r="G105">
            <v>142.9924</v>
          </cell>
          <cell r="H105">
            <v>181</v>
          </cell>
          <cell r="I105">
            <v>-26.580153910277748</v>
          </cell>
        </row>
        <row r="106">
          <cell r="G106">
            <v>142.9924</v>
          </cell>
          <cell r="H106">
            <v>165</v>
          </cell>
          <cell r="I106">
            <v>-15.390748039755955</v>
          </cell>
        </row>
        <row r="107">
          <cell r="G107">
            <v>142.9924</v>
          </cell>
          <cell r="H107">
            <v>175</v>
          </cell>
          <cell r="I107">
            <v>-22.384126708832074</v>
          </cell>
        </row>
        <row r="108">
          <cell r="G108">
            <v>142.9924</v>
          </cell>
          <cell r="H108">
            <v>121.45739999999999</v>
          </cell>
          <cell r="I108">
            <v>15.060240963855428</v>
          </cell>
        </row>
        <row r="109">
          <cell r="G109">
            <v>142.9924</v>
          </cell>
          <cell r="H109">
            <v>126.6258</v>
          </cell>
          <cell r="I109">
            <v>11.445783132530124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C:\Users\bidisha.s\Downloads\Downloads\SCM%20Daily%20Operations\BUSINESS%20CASE\SPLIT%20JB\SHANKSHILA\Shankshila%20JB.doc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file:///C:\Users\bidisha.s\Downloads\Downloads\SCM%20Daily%20Operations\BUSINESS%20CASE\AL.%20FRAME\RHINE%20VIETNAM\Business%20Case-Rhine%20Precision%20Alloy.docx" TargetMode="External"/><Relationship Id="rId1" Type="http://schemas.openxmlformats.org/officeDocument/2006/relationships/hyperlink" Target="file:///C:\Users\bidisha.s\Downloads\Downloads\SCM%20Daily%20Operations\BUSINESS%20CASE\AL.%20FRAME\INEX\Business%20Case-INEX.docx" TargetMode="External"/><Relationship Id="rId6" Type="http://schemas.openxmlformats.org/officeDocument/2006/relationships/hyperlink" Target="file:///C:\Users\bidisha.s\Downloads\Downloads\SCM%20Daily%20Operations\BUSINESS%20CASE\ENCAPSULANT\SUNBEZ\Business%20Case-Sunbez.docx" TargetMode="External"/><Relationship Id="rId5" Type="http://schemas.openxmlformats.org/officeDocument/2006/relationships/hyperlink" Target="file:///C:\Users\bidisha.s\Downloads\Downloads\SCM%20Daily%20Operations\BUSINESS%20CASE\SEALANT\FASTO%20ADHESIVE\Business%20Case-Fasto.docx" TargetMode="External"/><Relationship Id="rId4" Type="http://schemas.openxmlformats.org/officeDocument/2006/relationships/hyperlink" Target="file:///C:\Users\bidisha.s\Downloads\Downloads\SCM%20Daily%20Operations\BUSINESS%20CASE\ENCAPSULANT\HIUV\Business%20Case-HIUV.doc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E6F64-CC0A-487E-9784-38C4B30BBA79}">
  <dimension ref="E3:P20"/>
  <sheetViews>
    <sheetView topLeftCell="A8" zoomScale="70" zoomScaleNormal="70" workbookViewId="0">
      <selection activeCell="E3" sqref="E3:P20"/>
    </sheetView>
  </sheetViews>
  <sheetFormatPr defaultColWidth="8.7265625" defaultRowHeight="14.5" x14ac:dyDescent="0.35"/>
  <cols>
    <col min="1" max="4" width="8.7265625" style="1"/>
    <col min="5" max="5" width="6.26953125" style="1" customWidth="1"/>
    <col min="6" max="6" width="14.1796875" style="1" customWidth="1"/>
    <col min="7" max="7" width="10.54296875" style="1" customWidth="1"/>
    <col min="8" max="8" width="19.26953125" style="2" customWidth="1"/>
    <col min="9" max="9" width="12.7265625" style="1" customWidth="1"/>
    <col min="10" max="10" width="34.54296875" style="4" customWidth="1"/>
    <col min="11" max="11" width="12.54296875" style="1" customWidth="1"/>
    <col min="12" max="12" width="11.453125" style="1" customWidth="1"/>
    <col min="13" max="13" width="15" style="2" customWidth="1"/>
    <col min="14" max="14" width="13.7265625" style="1" customWidth="1"/>
    <col min="15" max="15" width="16" style="6" customWidth="1"/>
    <col min="16" max="16" width="33.7265625" style="2" customWidth="1"/>
    <col min="17" max="16384" width="8.7265625" style="1"/>
  </cols>
  <sheetData>
    <row r="3" spans="5:16" ht="34" customHeight="1" x14ac:dyDescent="0.35">
      <c r="E3" s="12" t="s">
        <v>0</v>
      </c>
      <c r="F3" s="12" t="s">
        <v>1</v>
      </c>
      <c r="G3" s="12" t="s">
        <v>2</v>
      </c>
      <c r="H3" s="13" t="s">
        <v>3</v>
      </c>
      <c r="I3" s="12" t="s">
        <v>4</v>
      </c>
      <c r="J3" s="13" t="s">
        <v>5</v>
      </c>
      <c r="K3" s="12" t="s">
        <v>6</v>
      </c>
      <c r="L3" s="12" t="s">
        <v>7</v>
      </c>
      <c r="M3" s="13" t="s">
        <v>8</v>
      </c>
      <c r="N3" s="12" t="s">
        <v>9</v>
      </c>
      <c r="O3" s="14" t="s">
        <v>10</v>
      </c>
      <c r="P3" s="13" t="s">
        <v>11</v>
      </c>
    </row>
    <row r="4" spans="5:16" ht="29" x14ac:dyDescent="0.35">
      <c r="E4" s="3">
        <v>1</v>
      </c>
      <c r="F4" s="3" t="s">
        <v>12</v>
      </c>
      <c r="G4" s="3" t="s">
        <v>13</v>
      </c>
      <c r="H4" s="5" t="s">
        <v>14</v>
      </c>
      <c r="I4" s="3">
        <v>6000004209</v>
      </c>
      <c r="J4" s="7" t="s">
        <v>15</v>
      </c>
      <c r="K4" s="3" t="s">
        <v>16</v>
      </c>
      <c r="L4" s="3" t="s">
        <v>17</v>
      </c>
      <c r="M4" s="5"/>
      <c r="N4" s="3" t="s">
        <v>18</v>
      </c>
      <c r="O4" s="8" t="s">
        <v>19</v>
      </c>
      <c r="P4" s="7" t="s">
        <v>20</v>
      </c>
    </row>
    <row r="5" spans="5:16" ht="29" x14ac:dyDescent="0.35">
      <c r="E5" s="3">
        <v>2</v>
      </c>
      <c r="F5" s="3" t="s">
        <v>12</v>
      </c>
      <c r="G5" s="3" t="s">
        <v>13</v>
      </c>
      <c r="H5" s="5" t="s">
        <v>21</v>
      </c>
      <c r="I5" s="5">
        <v>6000004165</v>
      </c>
      <c r="J5" s="7" t="s">
        <v>15</v>
      </c>
      <c r="K5" s="3">
        <v>168</v>
      </c>
      <c r="L5" s="3" t="s">
        <v>22</v>
      </c>
      <c r="M5" s="5"/>
      <c r="N5" s="3" t="s">
        <v>23</v>
      </c>
      <c r="O5" s="8" t="s">
        <v>19</v>
      </c>
      <c r="P5" s="7" t="s">
        <v>24</v>
      </c>
    </row>
    <row r="6" spans="5:16" ht="29" x14ac:dyDescent="0.35">
      <c r="E6" s="3">
        <v>3</v>
      </c>
      <c r="F6" s="3" t="s">
        <v>12</v>
      </c>
      <c r="G6" s="3" t="s">
        <v>25</v>
      </c>
      <c r="H6" s="15" t="s">
        <v>26</v>
      </c>
      <c r="I6" s="3">
        <v>6000004174</v>
      </c>
      <c r="J6" s="7" t="s">
        <v>27</v>
      </c>
      <c r="K6" s="9" t="s">
        <v>28</v>
      </c>
      <c r="L6" s="3" t="s">
        <v>29</v>
      </c>
      <c r="M6" s="5"/>
      <c r="N6" s="3" t="s">
        <v>30</v>
      </c>
      <c r="O6" s="8" t="s">
        <v>19</v>
      </c>
      <c r="P6" s="7" t="s">
        <v>31</v>
      </c>
    </row>
    <row r="7" spans="5:16" ht="29" x14ac:dyDescent="0.35">
      <c r="E7" s="3">
        <v>4</v>
      </c>
      <c r="F7" s="3" t="s">
        <v>32</v>
      </c>
      <c r="G7" s="3" t="s">
        <v>25</v>
      </c>
      <c r="H7" s="15" t="s">
        <v>33</v>
      </c>
      <c r="I7" s="3">
        <v>6000004238</v>
      </c>
      <c r="J7" s="7" t="s">
        <v>34</v>
      </c>
      <c r="K7" s="10">
        <v>10000</v>
      </c>
      <c r="L7" s="3" t="s">
        <v>35</v>
      </c>
      <c r="M7" s="5" t="s">
        <v>36</v>
      </c>
      <c r="N7" s="3" t="s">
        <v>37</v>
      </c>
      <c r="O7" s="11">
        <v>101000070141</v>
      </c>
      <c r="P7" s="7" t="s">
        <v>38</v>
      </c>
    </row>
    <row r="8" spans="5:16" ht="40.5" customHeight="1" x14ac:dyDescent="0.35">
      <c r="E8" s="3">
        <v>5</v>
      </c>
      <c r="F8" s="3" t="s">
        <v>32</v>
      </c>
      <c r="G8" s="3" t="s">
        <v>25</v>
      </c>
      <c r="H8" s="15" t="s">
        <v>39</v>
      </c>
      <c r="I8" s="3">
        <v>6000004298</v>
      </c>
      <c r="J8" s="7" t="s">
        <v>40</v>
      </c>
      <c r="K8" s="10">
        <v>10000</v>
      </c>
      <c r="L8" s="5" t="s">
        <v>41</v>
      </c>
      <c r="M8" s="5" t="s">
        <v>42</v>
      </c>
      <c r="N8" s="5" t="s">
        <v>43</v>
      </c>
      <c r="O8" s="8" t="s">
        <v>44</v>
      </c>
      <c r="P8" s="7" t="s">
        <v>45</v>
      </c>
    </row>
    <row r="9" spans="5:16" ht="29" x14ac:dyDescent="0.35">
      <c r="E9" s="3">
        <v>6</v>
      </c>
      <c r="F9" s="3" t="s">
        <v>46</v>
      </c>
      <c r="G9" s="3" t="s">
        <v>47</v>
      </c>
      <c r="H9" s="5" t="s">
        <v>48</v>
      </c>
      <c r="I9" s="3">
        <v>6000004439</v>
      </c>
      <c r="J9" s="7" t="s">
        <v>49</v>
      </c>
      <c r="K9" s="3" t="s">
        <v>50</v>
      </c>
      <c r="L9" s="3" t="s">
        <v>51</v>
      </c>
      <c r="M9" s="5" t="s">
        <v>52</v>
      </c>
      <c r="N9" s="3" t="s">
        <v>53</v>
      </c>
      <c r="O9" s="8" t="s">
        <v>54</v>
      </c>
      <c r="P9" s="7" t="s">
        <v>55</v>
      </c>
    </row>
    <row r="10" spans="5:16" ht="28" customHeight="1" x14ac:dyDescent="0.35">
      <c r="E10" s="3">
        <v>7</v>
      </c>
      <c r="F10" s="3" t="s">
        <v>56</v>
      </c>
      <c r="G10" s="3" t="s">
        <v>57</v>
      </c>
      <c r="H10" s="15" t="s">
        <v>58</v>
      </c>
      <c r="I10" s="3">
        <v>6000004204</v>
      </c>
      <c r="J10" s="7" t="s">
        <v>59</v>
      </c>
      <c r="K10" s="10">
        <v>40000</v>
      </c>
      <c r="L10" s="3" t="s">
        <v>60</v>
      </c>
      <c r="M10" s="5" t="s">
        <v>61</v>
      </c>
      <c r="N10" s="3" t="s">
        <v>62</v>
      </c>
      <c r="O10" s="8" t="s">
        <v>63</v>
      </c>
      <c r="P10" s="7" t="s">
        <v>31</v>
      </c>
    </row>
    <row r="11" spans="5:16" ht="43" customHeight="1" x14ac:dyDescent="0.35">
      <c r="E11" s="3">
        <v>8</v>
      </c>
      <c r="F11" s="3" t="s">
        <v>12</v>
      </c>
      <c r="G11" s="3" t="s">
        <v>13</v>
      </c>
      <c r="H11" s="15" t="s">
        <v>64</v>
      </c>
      <c r="I11" s="3">
        <v>6000004454</v>
      </c>
      <c r="J11" s="7" t="s">
        <v>65</v>
      </c>
      <c r="K11" s="9" t="s">
        <v>66</v>
      </c>
      <c r="L11" s="3" t="s">
        <v>67</v>
      </c>
      <c r="M11" s="5"/>
      <c r="N11" s="3" t="s">
        <v>68</v>
      </c>
      <c r="O11" s="8" t="s">
        <v>19</v>
      </c>
      <c r="P11" s="7" t="s">
        <v>69</v>
      </c>
    </row>
    <row r="12" spans="5:16" ht="44.5" customHeight="1" x14ac:dyDescent="0.35">
      <c r="E12" s="3">
        <v>9</v>
      </c>
      <c r="F12" s="3" t="s">
        <v>70</v>
      </c>
      <c r="G12" s="3" t="s">
        <v>25</v>
      </c>
      <c r="H12" s="5" t="s">
        <v>71</v>
      </c>
      <c r="I12" s="3">
        <v>6000004503</v>
      </c>
      <c r="J12" s="7" t="s">
        <v>72</v>
      </c>
      <c r="K12" s="3" t="s">
        <v>73</v>
      </c>
      <c r="L12" s="3" t="s">
        <v>74</v>
      </c>
      <c r="M12" s="5"/>
      <c r="N12" s="3" t="s">
        <v>75</v>
      </c>
      <c r="O12" s="8" t="s">
        <v>76</v>
      </c>
      <c r="P12" s="7" t="s">
        <v>69</v>
      </c>
    </row>
    <row r="13" spans="5:16" ht="19.5" customHeight="1" x14ac:dyDescent="0.35">
      <c r="E13" s="3">
        <v>10</v>
      </c>
      <c r="F13" s="3" t="s">
        <v>77</v>
      </c>
      <c r="G13" s="3" t="s">
        <v>25</v>
      </c>
      <c r="H13" s="5" t="s">
        <v>78</v>
      </c>
      <c r="I13" s="3">
        <v>6000004647</v>
      </c>
      <c r="J13" s="7" t="s">
        <v>79</v>
      </c>
      <c r="K13" s="3" t="s">
        <v>80</v>
      </c>
      <c r="L13" s="3" t="s">
        <v>81</v>
      </c>
      <c r="M13" s="5"/>
      <c r="N13" s="11">
        <v>600252017239</v>
      </c>
      <c r="O13" s="11"/>
      <c r="P13" s="7" t="s">
        <v>82</v>
      </c>
    </row>
    <row r="14" spans="5:16" x14ac:dyDescent="0.35">
      <c r="E14" s="3">
        <v>11</v>
      </c>
      <c r="F14" s="3" t="s">
        <v>77</v>
      </c>
      <c r="G14" s="3" t="s">
        <v>25</v>
      </c>
      <c r="H14" s="5" t="s">
        <v>83</v>
      </c>
      <c r="I14" s="3">
        <v>6000004656</v>
      </c>
      <c r="J14" s="7" t="s">
        <v>79</v>
      </c>
      <c r="K14" s="10">
        <v>60000</v>
      </c>
      <c r="L14" s="3"/>
      <c r="M14" s="5"/>
      <c r="N14" s="3"/>
      <c r="O14" s="11"/>
      <c r="P14" s="7" t="s">
        <v>84</v>
      </c>
    </row>
    <row r="15" spans="5:16" ht="29" x14ac:dyDescent="0.35">
      <c r="E15" s="3">
        <v>12</v>
      </c>
      <c r="F15" s="3" t="s">
        <v>12</v>
      </c>
      <c r="G15" s="3" t="s">
        <v>57</v>
      </c>
      <c r="H15" s="5" t="s">
        <v>85</v>
      </c>
      <c r="I15" s="3">
        <v>6000004672</v>
      </c>
      <c r="J15" s="7" t="s">
        <v>15</v>
      </c>
      <c r="K15" s="3" t="s">
        <v>86</v>
      </c>
      <c r="L15" s="3"/>
      <c r="M15" s="5"/>
      <c r="N15" s="3"/>
      <c r="O15" s="11"/>
      <c r="P15" s="7" t="s">
        <v>84</v>
      </c>
    </row>
    <row r="16" spans="5:16" ht="28.5" customHeight="1" x14ac:dyDescent="0.35">
      <c r="E16" s="3">
        <v>13</v>
      </c>
      <c r="F16" s="3" t="s">
        <v>56</v>
      </c>
      <c r="G16" s="3" t="s">
        <v>87</v>
      </c>
      <c r="H16" s="5" t="s">
        <v>88</v>
      </c>
      <c r="I16" s="3">
        <v>6000004662</v>
      </c>
      <c r="J16" s="7" t="s">
        <v>59</v>
      </c>
      <c r="K16" s="10">
        <v>21700</v>
      </c>
      <c r="L16" s="3"/>
      <c r="M16" s="5"/>
      <c r="N16" s="3"/>
      <c r="O16" s="11"/>
      <c r="P16" s="7" t="s">
        <v>84</v>
      </c>
    </row>
    <row r="17" spans="5:16" ht="29" x14ac:dyDescent="0.35">
      <c r="E17" s="3">
        <v>14</v>
      </c>
      <c r="F17" s="3" t="s">
        <v>12</v>
      </c>
      <c r="G17" s="3" t="s">
        <v>13</v>
      </c>
      <c r="H17" s="5" t="s">
        <v>89</v>
      </c>
      <c r="I17" s="3"/>
      <c r="J17" s="7"/>
      <c r="K17" s="3"/>
      <c r="L17" s="3"/>
      <c r="M17" s="5"/>
      <c r="N17" s="3"/>
      <c r="O17" s="11"/>
      <c r="P17" s="7" t="s">
        <v>90</v>
      </c>
    </row>
    <row r="18" spans="5:16" ht="18.649999999999999" customHeight="1" x14ac:dyDescent="0.35">
      <c r="E18" s="3">
        <v>15</v>
      </c>
      <c r="F18" s="3" t="s">
        <v>70</v>
      </c>
      <c r="G18" s="3" t="s">
        <v>25</v>
      </c>
      <c r="H18" s="5" t="s">
        <v>91</v>
      </c>
      <c r="I18" s="3"/>
      <c r="J18" s="7"/>
      <c r="K18" s="3"/>
      <c r="L18" s="3"/>
      <c r="M18" s="5"/>
      <c r="N18" s="3"/>
      <c r="O18" s="11"/>
      <c r="P18" s="7" t="s">
        <v>92</v>
      </c>
    </row>
    <row r="19" spans="5:16" ht="19" customHeight="1" x14ac:dyDescent="0.35">
      <c r="E19" s="3">
        <v>16</v>
      </c>
      <c r="F19" s="3" t="s">
        <v>56</v>
      </c>
      <c r="G19" s="3" t="s">
        <v>13</v>
      </c>
      <c r="H19" s="5" t="s">
        <v>93</v>
      </c>
      <c r="I19" s="3"/>
      <c r="J19" s="7"/>
      <c r="K19" s="3"/>
      <c r="L19" s="3"/>
      <c r="M19" s="5"/>
      <c r="N19" s="3"/>
      <c r="O19" s="11"/>
      <c r="P19" s="7" t="s">
        <v>94</v>
      </c>
    </row>
    <row r="20" spans="5:16" x14ac:dyDescent="0.35">
      <c r="E20" s="3">
        <v>17</v>
      </c>
      <c r="F20" s="3" t="s">
        <v>32</v>
      </c>
      <c r="G20" s="3" t="s">
        <v>95</v>
      </c>
      <c r="H20" s="5" t="s">
        <v>96</v>
      </c>
      <c r="I20" s="3"/>
      <c r="J20" s="7"/>
      <c r="K20" s="3"/>
      <c r="L20" s="3"/>
      <c r="M20" s="5"/>
      <c r="N20" s="3"/>
      <c r="O20" s="11"/>
      <c r="P20" s="7" t="s">
        <v>92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57207-2DB4-4E40-9C9A-D2A05BF2F6ED}">
  <dimension ref="B2:AJ109"/>
  <sheetViews>
    <sheetView topLeftCell="L1" zoomScale="70" zoomScaleNormal="70" workbookViewId="0">
      <selection activeCell="AA18" sqref="AA18:AA19"/>
    </sheetView>
  </sheetViews>
  <sheetFormatPr defaultColWidth="8.7265625" defaultRowHeight="14.5" x14ac:dyDescent="0.35"/>
  <cols>
    <col min="1" max="1" width="8.7265625" style="16"/>
    <col min="2" max="2" width="8.7265625" style="1"/>
    <col min="3" max="3" width="8.81640625" style="16" customWidth="1"/>
    <col min="4" max="4" width="14.54296875" style="17" customWidth="1"/>
    <col min="5" max="5" width="5.453125" style="17" customWidth="1"/>
    <col min="6" max="6" width="14.54296875" style="1" customWidth="1"/>
    <col min="7" max="7" width="20.1796875" style="17" customWidth="1"/>
    <col min="8" max="8" width="18.7265625" style="1" customWidth="1"/>
    <col min="9" max="9" width="26.54296875" style="1" customWidth="1"/>
    <col min="10" max="10" width="9.453125" style="18" customWidth="1"/>
    <col min="11" max="11" width="10.1796875" style="19" customWidth="1"/>
    <col min="12" max="12" width="10.1796875" style="18" customWidth="1"/>
    <col min="13" max="13" width="10.7265625" style="20" hidden="1" customWidth="1"/>
    <col min="14" max="14" width="10.7265625" style="20" customWidth="1"/>
    <col min="15" max="15" width="9.1796875" style="20" customWidth="1"/>
    <col min="16" max="16" width="24.1796875" style="16" customWidth="1"/>
    <col min="17" max="17" width="20.26953125" style="16" customWidth="1"/>
    <col min="18" max="18" width="13" style="16" customWidth="1"/>
    <col min="19" max="19" width="12.26953125" style="16" customWidth="1"/>
    <col min="20" max="20" width="16.1796875" style="16" customWidth="1"/>
    <col min="21" max="21" width="16.81640625" style="2" customWidth="1"/>
    <col min="22" max="22" width="11.81640625" style="2" customWidth="1"/>
    <col min="23" max="23" width="12.1796875" style="21" customWidth="1"/>
    <col min="24" max="24" width="21.81640625" style="17" customWidth="1"/>
    <col min="25" max="25" width="13.1796875" style="16" customWidth="1"/>
    <col min="26" max="26" width="14.1796875" style="16" customWidth="1"/>
    <col min="27" max="27" width="12.1796875" style="16" customWidth="1"/>
    <col min="28" max="28" width="8.7265625" style="16"/>
    <col min="29" max="29" width="10.81640625" style="16" customWidth="1"/>
    <col min="30" max="32" width="8.7265625" style="16"/>
    <col min="33" max="33" width="18.1796875" style="16" customWidth="1"/>
    <col min="34" max="34" width="13.453125" style="16" customWidth="1"/>
    <col min="35" max="35" width="16.7265625" style="16" customWidth="1"/>
    <col min="36" max="36" width="12.81640625" style="16" customWidth="1"/>
    <col min="37" max="16384" width="8.7265625" style="16"/>
  </cols>
  <sheetData>
    <row r="2" spans="2:36" ht="11.5" customHeight="1" x14ac:dyDescent="0.35"/>
    <row r="3" spans="2:36" ht="13" customHeight="1" x14ac:dyDescent="0.35">
      <c r="G3" s="22"/>
    </row>
    <row r="4" spans="2:36" s="1" customFormat="1" ht="13" customHeight="1" x14ac:dyDescent="0.35">
      <c r="G4" s="91" t="s">
        <v>97</v>
      </c>
      <c r="H4" s="91"/>
      <c r="I4" s="91"/>
      <c r="J4" s="91"/>
      <c r="K4" s="91"/>
      <c r="L4" s="91"/>
      <c r="M4" s="24"/>
      <c r="N4" s="92" t="s">
        <v>98</v>
      </c>
      <c r="O4" s="93"/>
      <c r="P4" s="93"/>
      <c r="Q4" s="93"/>
      <c r="R4" s="93"/>
      <c r="S4" s="94"/>
      <c r="T4" s="25"/>
      <c r="U4" s="2"/>
      <c r="V4" s="2"/>
      <c r="W4" s="26"/>
    </row>
    <row r="5" spans="2:36" ht="43.5" x14ac:dyDescent="0.35">
      <c r="B5" s="27" t="s">
        <v>99</v>
      </c>
      <c r="C5" s="28" t="s">
        <v>2</v>
      </c>
      <c r="D5" s="28" t="s">
        <v>1</v>
      </c>
      <c r="E5" s="28" t="s">
        <v>100</v>
      </c>
      <c r="F5" s="29" t="s">
        <v>101</v>
      </c>
      <c r="G5" s="30" t="s">
        <v>102</v>
      </c>
      <c r="H5" s="31" t="s">
        <v>103</v>
      </c>
      <c r="I5" s="30" t="s">
        <v>104</v>
      </c>
      <c r="J5" s="30" t="s">
        <v>105</v>
      </c>
      <c r="K5" s="30" t="s">
        <v>106</v>
      </c>
      <c r="L5" s="30" t="s">
        <v>107</v>
      </c>
      <c r="M5" s="32" t="s">
        <v>108</v>
      </c>
      <c r="N5" s="32" t="s">
        <v>2</v>
      </c>
      <c r="O5" s="32" t="s">
        <v>100</v>
      </c>
      <c r="P5" s="33" t="s">
        <v>102</v>
      </c>
      <c r="Q5" s="32" t="s">
        <v>104</v>
      </c>
      <c r="R5" s="32" t="s">
        <v>106</v>
      </c>
      <c r="S5" s="34" t="s">
        <v>109</v>
      </c>
      <c r="T5" s="35" t="s">
        <v>110</v>
      </c>
      <c r="U5" s="36" t="s">
        <v>111</v>
      </c>
      <c r="V5" s="36" t="s">
        <v>112</v>
      </c>
      <c r="W5" s="36" t="s">
        <v>113</v>
      </c>
      <c r="X5" s="36" t="s">
        <v>114</v>
      </c>
      <c r="Y5" s="36" t="s">
        <v>115</v>
      </c>
      <c r="Z5" s="36" t="s">
        <v>116</v>
      </c>
      <c r="AA5" s="36" t="s">
        <v>117</v>
      </c>
      <c r="AB5" s="36" t="s">
        <v>118</v>
      </c>
    </row>
    <row r="6" spans="2:36" ht="16.5" customHeight="1" x14ac:dyDescent="0.35">
      <c r="B6" s="95">
        <v>1</v>
      </c>
      <c r="C6" s="95" t="s">
        <v>95</v>
      </c>
      <c r="D6" s="96" t="s">
        <v>119</v>
      </c>
      <c r="E6" s="98" t="s">
        <v>120</v>
      </c>
      <c r="F6" s="100" t="s">
        <v>121</v>
      </c>
      <c r="G6" s="102" t="s">
        <v>122</v>
      </c>
      <c r="H6" s="103">
        <v>4200012365</v>
      </c>
      <c r="I6" s="38" t="s">
        <v>123</v>
      </c>
      <c r="J6" s="103" t="s">
        <v>124</v>
      </c>
      <c r="K6" s="39">
        <f>2.278*(L6/(2.278*2+1.134*2))</f>
        <v>301.65807444314186</v>
      </c>
      <c r="L6" s="110">
        <v>903.65</v>
      </c>
      <c r="M6" s="111"/>
      <c r="N6" s="95" t="s">
        <v>95</v>
      </c>
      <c r="O6" s="96" t="s">
        <v>125</v>
      </c>
      <c r="P6" s="103" t="s">
        <v>126</v>
      </c>
      <c r="Q6" s="38" t="s">
        <v>123</v>
      </c>
      <c r="R6" s="39">
        <f>2.278*(S6/(2.278*2+1.134*2))</f>
        <v>282.13283704572098</v>
      </c>
      <c r="S6" s="103">
        <v>845.16</v>
      </c>
      <c r="T6" s="39">
        <f>K6-R6</f>
        <v>19.525237397420881</v>
      </c>
      <c r="U6" s="104">
        <f>L6-S6</f>
        <v>58.490000000000009</v>
      </c>
      <c r="V6" s="105">
        <f>(U6/590)/86.6</f>
        <v>1.1447528085489493E-3</v>
      </c>
      <c r="W6" s="106">
        <f>(U6/L6)*100</f>
        <v>6.4726387428761152</v>
      </c>
      <c r="X6" s="107" t="s">
        <v>127</v>
      </c>
      <c r="Y6" s="108" t="s">
        <v>128</v>
      </c>
    </row>
    <row r="7" spans="2:36" x14ac:dyDescent="0.35">
      <c r="B7" s="95"/>
      <c r="C7" s="95"/>
      <c r="D7" s="97"/>
      <c r="E7" s="99"/>
      <c r="F7" s="101"/>
      <c r="G7" s="102"/>
      <c r="H7" s="103"/>
      <c r="I7" s="38" t="s">
        <v>129</v>
      </c>
      <c r="J7" s="103"/>
      <c r="K7" s="39">
        <f>1.134*(L6/(2.278*2+1.134*2))</f>
        <v>150.16692555685816</v>
      </c>
      <c r="L7" s="110"/>
      <c r="M7" s="112"/>
      <c r="N7" s="95"/>
      <c r="O7" s="97"/>
      <c r="P7" s="103"/>
      <c r="Q7" s="38" t="s">
        <v>129</v>
      </c>
      <c r="R7" s="39">
        <f>1.134*(S6/(2.278*2+1.134*2))</f>
        <v>140.44716295427901</v>
      </c>
      <c r="S7" s="103"/>
      <c r="T7" s="39">
        <f>K7-R7</f>
        <v>9.7197626025791521</v>
      </c>
      <c r="U7" s="104"/>
      <c r="V7" s="105"/>
      <c r="W7" s="106"/>
      <c r="X7" s="107"/>
      <c r="Y7" s="108"/>
    </row>
    <row r="8" spans="2:36" x14ac:dyDescent="0.35">
      <c r="B8" s="95">
        <v>2</v>
      </c>
      <c r="C8" s="95" t="s">
        <v>13</v>
      </c>
      <c r="D8" s="96" t="s">
        <v>119</v>
      </c>
      <c r="E8" s="109" t="s">
        <v>130</v>
      </c>
      <c r="F8" s="100" t="s">
        <v>121</v>
      </c>
      <c r="G8" s="102" t="s">
        <v>58</v>
      </c>
      <c r="H8" s="103">
        <v>6000004204</v>
      </c>
      <c r="I8" s="38" t="s">
        <v>123</v>
      </c>
      <c r="J8" s="103" t="s">
        <v>131</v>
      </c>
      <c r="K8" s="39">
        <f>2.278*(L8/(2.278*2+1.134*2))</f>
        <v>2.8374853458382181</v>
      </c>
      <c r="L8" s="110">
        <v>8.5</v>
      </c>
      <c r="M8" s="111"/>
      <c r="N8" s="95" t="s">
        <v>13</v>
      </c>
      <c r="O8" s="103" t="s">
        <v>130</v>
      </c>
      <c r="P8" s="96" t="s">
        <v>93</v>
      </c>
      <c r="Q8" s="38" t="s">
        <v>123</v>
      </c>
      <c r="R8" s="44">
        <f>2.278*(S8/(2.278*2+1.134*2))</f>
        <v>2.7173094958968349</v>
      </c>
      <c r="S8" s="96">
        <v>8.14</v>
      </c>
      <c r="T8" s="39">
        <f>K8-R8</f>
        <v>0.12017584994138319</v>
      </c>
      <c r="U8" s="104">
        <f>T8+T9</f>
        <v>0.17999999999999972</v>
      </c>
      <c r="V8" s="105">
        <f>(U8/590)</f>
        <v>3.0508474576271136E-4</v>
      </c>
      <c r="W8" s="106">
        <f>(U8/L8)*100</f>
        <v>2.1176470588235263</v>
      </c>
      <c r="X8" s="107" t="s">
        <v>132</v>
      </c>
      <c r="Y8" s="108" t="s">
        <v>133</v>
      </c>
    </row>
    <row r="9" spans="2:36" x14ac:dyDescent="0.35">
      <c r="B9" s="95"/>
      <c r="C9" s="95"/>
      <c r="D9" s="97"/>
      <c r="E9" s="109"/>
      <c r="F9" s="101"/>
      <c r="G9" s="102"/>
      <c r="H9" s="103"/>
      <c r="I9" s="38" t="s">
        <v>129</v>
      </c>
      <c r="J9" s="103"/>
      <c r="K9" s="46">
        <f>1.134*(L8/(2.278*2+1.134*2))</f>
        <v>1.4125146541617817</v>
      </c>
      <c r="L9" s="110"/>
      <c r="M9" s="112"/>
      <c r="N9" s="95"/>
      <c r="O9" s="103"/>
      <c r="P9" s="97"/>
      <c r="Q9" s="38" t="s">
        <v>129</v>
      </c>
      <c r="R9" s="44">
        <f>1.134*(S8/(2.278*2+1.134*2))</f>
        <v>1.3526905041031652</v>
      </c>
      <c r="S9" s="97"/>
      <c r="T9" s="39">
        <f>K9-R9</f>
        <v>5.9824150058616521E-2</v>
      </c>
      <c r="U9" s="104"/>
      <c r="V9" s="105"/>
      <c r="W9" s="106"/>
      <c r="X9" s="107"/>
      <c r="Y9" s="108"/>
    </row>
    <row r="10" spans="2:36" x14ac:dyDescent="0.35">
      <c r="B10" s="3">
        <v>3</v>
      </c>
      <c r="C10" s="3" t="s">
        <v>95</v>
      </c>
      <c r="D10" s="38" t="s">
        <v>134</v>
      </c>
      <c r="E10" s="45" t="s">
        <v>135</v>
      </c>
      <c r="F10" s="3" t="s">
        <v>121</v>
      </c>
      <c r="G10" s="47" t="s">
        <v>136</v>
      </c>
      <c r="H10" s="38">
        <v>4200012584</v>
      </c>
      <c r="I10" s="3" t="s">
        <v>137</v>
      </c>
      <c r="J10" s="3" t="s">
        <v>124</v>
      </c>
      <c r="K10" s="46">
        <f>L10/3</f>
        <v>54.330000000000005</v>
      </c>
      <c r="L10" s="39">
        <v>162.99</v>
      </c>
      <c r="M10" s="39"/>
      <c r="N10" s="3" t="s">
        <v>95</v>
      </c>
      <c r="O10" s="3" t="s">
        <v>135</v>
      </c>
      <c r="P10" s="38" t="s">
        <v>138</v>
      </c>
      <c r="Q10" s="38" t="s">
        <v>137</v>
      </c>
      <c r="R10" s="39">
        <f>S10/3</f>
        <v>55.066666666666663</v>
      </c>
      <c r="S10" s="38">
        <v>165.2</v>
      </c>
      <c r="T10" s="39">
        <f>K10-R10</f>
        <v>-0.73666666666665748</v>
      </c>
      <c r="U10" s="48">
        <f>L10-S10</f>
        <v>-2.2099999999999795</v>
      </c>
      <c r="V10" s="105">
        <f>(U10/590)</f>
        <v>-3.7457627118643723E-3</v>
      </c>
      <c r="W10" s="40">
        <f>(U10/L10)*100</f>
        <v>-1.3559114056076933</v>
      </c>
      <c r="X10" s="49" t="s">
        <v>139</v>
      </c>
      <c r="Y10" s="41" t="s">
        <v>140</v>
      </c>
    </row>
    <row r="11" spans="2:36" hidden="1" x14ac:dyDescent="0.35">
      <c r="D11" s="42" t="s">
        <v>134</v>
      </c>
      <c r="E11" s="50"/>
      <c r="F11" s="3"/>
      <c r="J11" s="16"/>
      <c r="K11" s="51"/>
      <c r="L11" s="52"/>
      <c r="M11" s="53"/>
      <c r="N11" s="16"/>
      <c r="O11" s="54"/>
      <c r="P11" s="42" t="s">
        <v>141</v>
      </c>
      <c r="Q11" s="42"/>
      <c r="R11" s="42"/>
      <c r="S11" s="42">
        <v>192</v>
      </c>
      <c r="T11" s="50"/>
      <c r="U11" s="18"/>
      <c r="V11" s="105"/>
      <c r="W11" s="55"/>
    </row>
    <row r="12" spans="2:36" x14ac:dyDescent="0.35">
      <c r="B12" s="95">
        <v>4</v>
      </c>
      <c r="C12" s="95" t="s">
        <v>13</v>
      </c>
      <c r="D12" s="96" t="s">
        <v>142</v>
      </c>
      <c r="E12" s="100" t="s">
        <v>130</v>
      </c>
      <c r="F12" s="100" t="s">
        <v>143</v>
      </c>
      <c r="G12" s="100" t="s">
        <v>144</v>
      </c>
      <c r="H12" s="100">
        <v>6000004401</v>
      </c>
      <c r="I12" s="38" t="s">
        <v>145</v>
      </c>
      <c r="J12" s="103" t="s">
        <v>146</v>
      </c>
      <c r="K12" s="56">
        <f>0.9*86.14</f>
        <v>77.525999999999996</v>
      </c>
      <c r="L12" s="113">
        <f>K12+K13</f>
        <v>142.9924</v>
      </c>
      <c r="M12" s="115"/>
      <c r="N12" s="95" t="s">
        <v>95</v>
      </c>
      <c r="O12" s="95" t="s">
        <v>135</v>
      </c>
      <c r="P12" s="96" t="s">
        <v>147</v>
      </c>
      <c r="Q12" s="3" t="s">
        <v>148</v>
      </c>
      <c r="R12" s="38">
        <v>86</v>
      </c>
      <c r="S12" s="96">
        <f>R12+R13</f>
        <v>165</v>
      </c>
      <c r="T12" s="39">
        <f>K12-R12</f>
        <v>-8.4740000000000038</v>
      </c>
      <c r="U12" s="106">
        <f>L12-S12</f>
        <v>-22.007599999999996</v>
      </c>
      <c r="V12" s="117">
        <f>U12/590</f>
        <v>-3.7301016949152534E-2</v>
      </c>
      <c r="W12" s="106">
        <f>(U12/L12)*100</f>
        <v>-15.390748039755955</v>
      </c>
      <c r="X12" s="95" t="s">
        <v>149</v>
      </c>
      <c r="Y12" s="108" t="s">
        <v>147</v>
      </c>
    </row>
    <row r="13" spans="2:36" x14ac:dyDescent="0.35">
      <c r="B13" s="95"/>
      <c r="C13" s="95"/>
      <c r="D13" s="97"/>
      <c r="E13" s="101"/>
      <c r="F13" s="101"/>
      <c r="G13" s="101"/>
      <c r="H13" s="101"/>
      <c r="I13" s="38" t="s">
        <v>150</v>
      </c>
      <c r="J13" s="103"/>
      <c r="K13" s="56">
        <f>0.76*86.14</f>
        <v>65.466400000000007</v>
      </c>
      <c r="L13" s="114"/>
      <c r="M13" s="116"/>
      <c r="N13" s="95"/>
      <c r="O13" s="95"/>
      <c r="P13" s="97"/>
      <c r="Q13" s="49" t="s">
        <v>151</v>
      </c>
      <c r="R13" s="38">
        <v>79</v>
      </c>
      <c r="S13" s="97"/>
      <c r="T13" s="39">
        <f t="shared" ref="T13:T18" si="0">K13-R13</f>
        <v>-13.533599999999993</v>
      </c>
      <c r="U13" s="106"/>
      <c r="V13" s="118"/>
      <c r="W13" s="106"/>
      <c r="X13" s="95"/>
      <c r="Y13" s="108"/>
    </row>
    <row r="14" spans="2:36" x14ac:dyDescent="0.35">
      <c r="B14" s="95">
        <v>5</v>
      </c>
      <c r="C14" s="95" t="s">
        <v>25</v>
      </c>
      <c r="D14" s="96" t="s">
        <v>142</v>
      </c>
      <c r="E14" s="109" t="s">
        <v>130</v>
      </c>
      <c r="F14" s="100" t="s">
        <v>143</v>
      </c>
      <c r="G14" s="102" t="s">
        <v>152</v>
      </c>
      <c r="H14" s="95">
        <v>6000004174</v>
      </c>
      <c r="I14" s="3" t="s">
        <v>153</v>
      </c>
      <c r="J14" s="103" t="s">
        <v>124</v>
      </c>
      <c r="K14" s="56">
        <v>207.5</v>
      </c>
      <c r="L14" s="125">
        <v>382.5</v>
      </c>
      <c r="M14" s="115"/>
      <c r="N14" s="95" t="s">
        <v>25</v>
      </c>
      <c r="O14" s="95" t="s">
        <v>130</v>
      </c>
      <c r="P14" s="96" t="s">
        <v>154</v>
      </c>
      <c r="Q14" s="3" t="s">
        <v>148</v>
      </c>
      <c r="R14" s="38">
        <v>200</v>
      </c>
      <c r="S14" s="96">
        <v>370</v>
      </c>
      <c r="T14" s="38">
        <f t="shared" si="0"/>
        <v>7.5</v>
      </c>
      <c r="U14" s="104">
        <f>L14-S14</f>
        <v>12.5</v>
      </c>
      <c r="V14" s="117">
        <f>U14/590</f>
        <v>2.1186440677966101E-2</v>
      </c>
      <c r="W14" s="106">
        <f>(U14/L14)*100</f>
        <v>3.2679738562091507</v>
      </c>
      <c r="X14" s="95" t="s">
        <v>155</v>
      </c>
      <c r="Y14" s="108" t="s">
        <v>89</v>
      </c>
    </row>
    <row r="15" spans="2:36" x14ac:dyDescent="0.35">
      <c r="B15" s="95"/>
      <c r="C15" s="95"/>
      <c r="D15" s="97"/>
      <c r="E15" s="109"/>
      <c r="F15" s="101"/>
      <c r="G15" s="102"/>
      <c r="H15" s="95"/>
      <c r="I15" s="3" t="s">
        <v>156</v>
      </c>
      <c r="J15" s="103"/>
      <c r="K15" s="56">
        <v>175</v>
      </c>
      <c r="L15" s="125"/>
      <c r="M15" s="116"/>
      <c r="N15" s="95"/>
      <c r="O15" s="95"/>
      <c r="P15" s="97"/>
      <c r="Q15" s="49" t="s">
        <v>151</v>
      </c>
      <c r="R15" s="38">
        <v>170</v>
      </c>
      <c r="S15" s="97"/>
      <c r="T15" s="38">
        <f t="shared" si="0"/>
        <v>5</v>
      </c>
      <c r="U15" s="104"/>
      <c r="V15" s="118"/>
      <c r="W15" s="106"/>
      <c r="X15" s="95"/>
      <c r="Y15" s="108"/>
    </row>
    <row r="16" spans="2:36" x14ac:dyDescent="0.35">
      <c r="B16" s="100">
        <v>6</v>
      </c>
      <c r="C16" s="100" t="s">
        <v>95</v>
      </c>
      <c r="D16" s="38" t="s">
        <v>70</v>
      </c>
      <c r="E16" s="98" t="s">
        <v>135</v>
      </c>
      <c r="F16" s="100" t="s">
        <v>157</v>
      </c>
      <c r="G16" s="121" t="s">
        <v>158</v>
      </c>
      <c r="H16" s="100">
        <v>4200012518</v>
      </c>
      <c r="I16" s="38" t="s">
        <v>70</v>
      </c>
      <c r="J16" s="100" t="s">
        <v>124</v>
      </c>
      <c r="K16" s="56">
        <v>129.63</v>
      </c>
      <c r="L16" s="115">
        <f>K16+K17+K18</f>
        <v>590.73</v>
      </c>
      <c r="M16" s="115"/>
      <c r="N16" s="100" t="s">
        <v>95</v>
      </c>
      <c r="O16" s="100" t="s">
        <v>135</v>
      </c>
      <c r="P16" s="103" t="s">
        <v>159</v>
      </c>
      <c r="Q16" s="38" t="s">
        <v>70</v>
      </c>
      <c r="R16" s="38">
        <v>129</v>
      </c>
      <c r="S16" s="96">
        <f>R16+R17+R18</f>
        <v>585</v>
      </c>
      <c r="T16" s="38">
        <f t="shared" si="0"/>
        <v>0.62999999999999545</v>
      </c>
      <c r="U16" s="128">
        <f>L16-S16</f>
        <v>5.7300000000000182</v>
      </c>
      <c r="V16" s="117">
        <f>U16/590</f>
        <v>9.7118644067796921E-3</v>
      </c>
      <c r="W16" s="132">
        <f>(U16/L16)*100</f>
        <v>0.96998628815195065</v>
      </c>
      <c r="X16" s="113" t="s">
        <v>160</v>
      </c>
      <c r="Y16" s="108" t="s">
        <v>161</v>
      </c>
      <c r="AG16" s="58" t="s">
        <v>1</v>
      </c>
      <c r="AH16" s="23" t="s">
        <v>116</v>
      </c>
      <c r="AI16" s="23" t="s">
        <v>117</v>
      </c>
      <c r="AJ16" s="23" t="s">
        <v>118</v>
      </c>
    </row>
    <row r="17" spans="2:36" x14ac:dyDescent="0.35">
      <c r="B17" s="119"/>
      <c r="C17" s="119"/>
      <c r="D17" s="38" t="s">
        <v>162</v>
      </c>
      <c r="E17" s="120"/>
      <c r="F17" s="119"/>
      <c r="G17" s="122"/>
      <c r="H17" s="119"/>
      <c r="I17" s="38" t="s">
        <v>162</v>
      </c>
      <c r="J17" s="119"/>
      <c r="K17" s="46">
        <v>230.55</v>
      </c>
      <c r="L17" s="124"/>
      <c r="M17" s="124"/>
      <c r="N17" s="119"/>
      <c r="O17" s="119"/>
      <c r="P17" s="103"/>
      <c r="Q17" s="38" t="s">
        <v>162</v>
      </c>
      <c r="R17" s="38">
        <v>228</v>
      </c>
      <c r="S17" s="127"/>
      <c r="T17" s="38">
        <f t="shared" si="0"/>
        <v>2.5500000000000114</v>
      </c>
      <c r="U17" s="129"/>
      <c r="V17" s="131"/>
      <c r="W17" s="133"/>
      <c r="X17" s="126"/>
      <c r="Y17" s="108"/>
      <c r="AG17" s="58" t="s">
        <v>163</v>
      </c>
      <c r="AH17" s="59">
        <v>50000</v>
      </c>
      <c r="AI17" s="59">
        <v>1500000</v>
      </c>
      <c r="AJ17" s="10">
        <f>AH17+AI17</f>
        <v>1550000</v>
      </c>
    </row>
    <row r="18" spans="2:36" x14ac:dyDescent="0.35">
      <c r="B18" s="101"/>
      <c r="C18" s="101"/>
      <c r="D18" s="38" t="s">
        <v>164</v>
      </c>
      <c r="E18" s="99"/>
      <c r="F18" s="101"/>
      <c r="G18" s="123"/>
      <c r="H18" s="101"/>
      <c r="I18" s="38" t="s">
        <v>164</v>
      </c>
      <c r="J18" s="101"/>
      <c r="K18" s="46">
        <v>230.55</v>
      </c>
      <c r="L18" s="116"/>
      <c r="M18" s="116"/>
      <c r="N18" s="101"/>
      <c r="O18" s="101"/>
      <c r="P18" s="103"/>
      <c r="Q18" s="38" t="s">
        <v>164</v>
      </c>
      <c r="R18" s="38">
        <v>228</v>
      </c>
      <c r="S18" s="97"/>
      <c r="T18" s="38">
        <f t="shared" si="0"/>
        <v>2.5500000000000114</v>
      </c>
      <c r="U18" s="130"/>
      <c r="V18" s="118"/>
      <c r="W18" s="134"/>
      <c r="X18" s="114"/>
      <c r="Y18" s="108"/>
      <c r="AG18" s="58" t="s">
        <v>142</v>
      </c>
      <c r="AH18" s="59">
        <v>100000</v>
      </c>
      <c r="AI18" s="59">
        <v>3500000</v>
      </c>
      <c r="AJ18" s="10">
        <f>AH18+AI18</f>
        <v>3600000</v>
      </c>
    </row>
    <row r="19" spans="2:36" ht="15.65" customHeight="1" x14ac:dyDescent="0.35">
      <c r="B19" s="100">
        <v>7</v>
      </c>
      <c r="C19" s="100" t="s">
        <v>25</v>
      </c>
      <c r="D19" s="96" t="s">
        <v>46</v>
      </c>
      <c r="E19" s="96" t="s">
        <v>130</v>
      </c>
      <c r="F19" s="100" t="s">
        <v>157</v>
      </c>
      <c r="G19" s="96" t="s">
        <v>165</v>
      </c>
      <c r="H19" s="100">
        <v>6000004468</v>
      </c>
      <c r="I19" s="38" t="s">
        <v>166</v>
      </c>
      <c r="J19" s="113" t="s">
        <v>131</v>
      </c>
      <c r="K19" s="49">
        <v>13.58</v>
      </c>
      <c r="L19" s="100">
        <f>K19+K20+K21</f>
        <v>38.540000000000006</v>
      </c>
      <c r="M19" s="100"/>
      <c r="N19" s="113" t="s">
        <v>167</v>
      </c>
      <c r="O19" s="100" t="s">
        <v>130</v>
      </c>
      <c r="P19" s="96" t="s">
        <v>168</v>
      </c>
      <c r="Q19" s="38" t="s">
        <v>166</v>
      </c>
      <c r="R19" s="38">
        <v>13.8</v>
      </c>
      <c r="S19" s="96">
        <f>R19+R20+R21</f>
        <v>40</v>
      </c>
      <c r="T19" s="38">
        <f>K19-R19</f>
        <v>-0.22000000000000064</v>
      </c>
      <c r="U19" s="128">
        <f>L19-S19</f>
        <v>-1.4599999999999937</v>
      </c>
      <c r="V19" s="117">
        <f>U19/590</f>
        <v>-2.4745762711864301E-3</v>
      </c>
      <c r="W19" s="132">
        <f>(U19/L19)*100</f>
        <v>-3.7882719252724275</v>
      </c>
      <c r="X19" s="100" t="s">
        <v>132</v>
      </c>
      <c r="Y19" s="135"/>
      <c r="AG19" s="58" t="s">
        <v>169</v>
      </c>
      <c r="AH19" s="59">
        <v>1800000</v>
      </c>
      <c r="AI19" s="49"/>
      <c r="AJ19" s="10">
        <f t="shared" ref="AJ19:AJ21" si="1">AH19+AI19</f>
        <v>1800000</v>
      </c>
    </row>
    <row r="20" spans="2:36" x14ac:dyDescent="0.35">
      <c r="B20" s="119"/>
      <c r="C20" s="119"/>
      <c r="D20" s="127"/>
      <c r="E20" s="127"/>
      <c r="F20" s="119"/>
      <c r="G20" s="127"/>
      <c r="H20" s="119"/>
      <c r="I20" s="38" t="s">
        <v>170</v>
      </c>
      <c r="J20" s="126"/>
      <c r="K20" s="49">
        <v>12.48</v>
      </c>
      <c r="L20" s="119"/>
      <c r="M20" s="101"/>
      <c r="N20" s="126"/>
      <c r="O20" s="119"/>
      <c r="P20" s="127"/>
      <c r="Q20" s="38" t="s">
        <v>170</v>
      </c>
      <c r="R20" s="49">
        <v>13.1</v>
      </c>
      <c r="S20" s="127"/>
      <c r="T20" s="38">
        <f t="shared" ref="T20:T42" si="2">K20-R20</f>
        <v>-0.61999999999999922</v>
      </c>
      <c r="U20" s="129"/>
      <c r="V20" s="131"/>
      <c r="W20" s="133"/>
      <c r="X20" s="119"/>
      <c r="Y20" s="136"/>
      <c r="AG20" s="58" t="s">
        <v>171</v>
      </c>
      <c r="AH20" s="59">
        <v>1200000</v>
      </c>
      <c r="AI20" s="49"/>
      <c r="AJ20" s="10">
        <f t="shared" si="1"/>
        <v>1200000</v>
      </c>
    </row>
    <row r="21" spans="2:36" x14ac:dyDescent="0.35">
      <c r="B21" s="101"/>
      <c r="C21" s="101"/>
      <c r="D21" s="97"/>
      <c r="E21" s="97"/>
      <c r="F21" s="101"/>
      <c r="G21" s="97"/>
      <c r="H21" s="101"/>
      <c r="I21" s="38" t="s">
        <v>172</v>
      </c>
      <c r="J21" s="114"/>
      <c r="K21" s="49">
        <v>12.48</v>
      </c>
      <c r="L21" s="101"/>
      <c r="M21" s="43"/>
      <c r="N21" s="114"/>
      <c r="O21" s="101"/>
      <c r="P21" s="97"/>
      <c r="Q21" s="38" t="s">
        <v>172</v>
      </c>
      <c r="R21" s="49">
        <v>13.1</v>
      </c>
      <c r="S21" s="97"/>
      <c r="T21" s="38">
        <f>K21-R21</f>
        <v>-0.61999999999999922</v>
      </c>
      <c r="U21" s="130"/>
      <c r="V21" s="118"/>
      <c r="W21" s="134"/>
      <c r="X21" s="101"/>
      <c r="Y21" s="137"/>
      <c r="AG21" s="58" t="s">
        <v>32</v>
      </c>
      <c r="AH21" s="59">
        <v>1200000</v>
      </c>
      <c r="AI21" s="49"/>
      <c r="AJ21" s="10">
        <f t="shared" si="1"/>
        <v>1200000</v>
      </c>
    </row>
    <row r="22" spans="2:36" x14ac:dyDescent="0.35">
      <c r="B22" s="100">
        <v>8</v>
      </c>
      <c r="C22" s="100" t="s">
        <v>25</v>
      </c>
      <c r="D22" s="100" t="s">
        <v>173</v>
      </c>
      <c r="E22" s="100" t="s">
        <v>130</v>
      </c>
      <c r="F22" s="100" t="s">
        <v>157</v>
      </c>
      <c r="G22" s="113" t="s">
        <v>174</v>
      </c>
      <c r="H22" s="100">
        <v>6000004458</v>
      </c>
      <c r="I22" s="3" t="s">
        <v>175</v>
      </c>
      <c r="J22" s="113" t="s">
        <v>131</v>
      </c>
      <c r="K22" s="60">
        <v>1.22</v>
      </c>
      <c r="L22" s="113">
        <f>K22+K23+K24</f>
        <v>5.96</v>
      </c>
      <c r="M22" s="61"/>
      <c r="N22" s="113" t="s">
        <v>25</v>
      </c>
      <c r="O22" s="113" t="s">
        <v>130</v>
      </c>
      <c r="P22" s="96" t="s">
        <v>176</v>
      </c>
      <c r="Q22" s="38" t="s">
        <v>70</v>
      </c>
      <c r="R22" s="3">
        <v>1.28</v>
      </c>
      <c r="S22" s="95">
        <f>R22+R23+R24</f>
        <v>6.04</v>
      </c>
      <c r="T22" s="49">
        <f t="shared" si="2"/>
        <v>-6.0000000000000053E-2</v>
      </c>
      <c r="U22" s="104">
        <f>L22-S22</f>
        <v>-8.0000000000000071E-2</v>
      </c>
      <c r="V22" s="105">
        <f>U22/590</f>
        <v>-1.3559322033898318E-4</v>
      </c>
      <c r="W22" s="132">
        <f>(U22/L22)*100</f>
        <v>-1.342281879194632</v>
      </c>
      <c r="X22" s="100" t="s">
        <v>132</v>
      </c>
      <c r="Y22" s="135"/>
      <c r="AG22" s="23" t="s">
        <v>70</v>
      </c>
      <c r="AH22" s="10">
        <v>1200000</v>
      </c>
      <c r="AI22" s="49"/>
      <c r="AJ22" s="10">
        <f>AH22+AI22</f>
        <v>1200000</v>
      </c>
    </row>
    <row r="23" spans="2:36" x14ac:dyDescent="0.35">
      <c r="B23" s="119"/>
      <c r="C23" s="119"/>
      <c r="D23" s="119"/>
      <c r="E23" s="119"/>
      <c r="F23" s="119"/>
      <c r="G23" s="126"/>
      <c r="H23" s="119"/>
      <c r="I23" s="3" t="s">
        <v>177</v>
      </c>
      <c r="J23" s="126"/>
      <c r="K23" s="60">
        <v>2.37</v>
      </c>
      <c r="L23" s="126"/>
      <c r="M23" s="61"/>
      <c r="N23" s="126"/>
      <c r="O23" s="126"/>
      <c r="P23" s="127"/>
      <c r="Q23" s="38" t="s">
        <v>162</v>
      </c>
      <c r="R23" s="3">
        <v>2.38</v>
      </c>
      <c r="S23" s="95"/>
      <c r="T23" s="49">
        <f t="shared" si="2"/>
        <v>-9.9999999999997868E-3</v>
      </c>
      <c r="U23" s="104"/>
      <c r="V23" s="105"/>
      <c r="W23" s="133"/>
      <c r="X23" s="119"/>
      <c r="Y23" s="136"/>
      <c r="AJ23" s="10">
        <v>3800000</v>
      </c>
    </row>
    <row r="24" spans="2:36" x14ac:dyDescent="0.35">
      <c r="B24" s="101"/>
      <c r="C24" s="101"/>
      <c r="D24" s="101"/>
      <c r="E24" s="101"/>
      <c r="F24" s="101"/>
      <c r="G24" s="114"/>
      <c r="H24" s="101"/>
      <c r="I24" s="3" t="s">
        <v>178</v>
      </c>
      <c r="J24" s="114"/>
      <c r="K24" s="60">
        <v>2.37</v>
      </c>
      <c r="L24" s="114"/>
      <c r="M24" s="61"/>
      <c r="N24" s="114"/>
      <c r="O24" s="114"/>
      <c r="P24" s="127"/>
      <c r="Q24" s="37" t="s">
        <v>164</v>
      </c>
      <c r="R24" s="3">
        <v>2.38</v>
      </c>
      <c r="S24" s="95"/>
      <c r="T24" s="49">
        <f t="shared" si="2"/>
        <v>-9.9999999999997868E-3</v>
      </c>
      <c r="U24" s="104"/>
      <c r="V24" s="105"/>
      <c r="W24" s="134"/>
      <c r="X24" s="101"/>
      <c r="Y24" s="137"/>
    </row>
    <row r="25" spans="2:36" x14ac:dyDescent="0.35">
      <c r="B25" s="100">
        <v>9</v>
      </c>
      <c r="C25" s="100" t="s">
        <v>13</v>
      </c>
      <c r="D25" s="96" t="s">
        <v>142</v>
      </c>
      <c r="E25" s="100" t="s">
        <v>130</v>
      </c>
      <c r="F25" s="100" t="s">
        <v>143</v>
      </c>
      <c r="G25" s="100" t="s">
        <v>144</v>
      </c>
      <c r="H25" s="100">
        <v>6000004401</v>
      </c>
      <c r="I25" s="38" t="s">
        <v>145</v>
      </c>
      <c r="J25" s="103" t="s">
        <v>146</v>
      </c>
      <c r="K25" s="56">
        <f>0.9*86.14</f>
        <v>77.525999999999996</v>
      </c>
      <c r="L25" s="113">
        <f>K25+K26</f>
        <v>142.9924</v>
      </c>
      <c r="M25" s="61"/>
      <c r="N25" s="95" t="s">
        <v>95</v>
      </c>
      <c r="O25" s="95" t="s">
        <v>135</v>
      </c>
      <c r="P25" s="103" t="s">
        <v>179</v>
      </c>
      <c r="Q25" s="38" t="s">
        <v>148</v>
      </c>
      <c r="R25" s="3">
        <v>100</v>
      </c>
      <c r="S25" s="95">
        <f>R25+R26</f>
        <v>179</v>
      </c>
      <c r="T25" s="62">
        <f t="shared" si="2"/>
        <v>-22.474000000000004</v>
      </c>
      <c r="U25" s="132">
        <f>L25-S25</f>
        <v>-36.007599999999996</v>
      </c>
      <c r="V25" s="117">
        <f>U25/590</f>
        <v>-6.1029830508474568E-2</v>
      </c>
      <c r="W25" s="132">
        <f>(U25/L25)*100</f>
        <v>-25.181478176462523</v>
      </c>
      <c r="X25" s="100" t="s">
        <v>149</v>
      </c>
      <c r="Y25" s="135"/>
    </row>
    <row r="26" spans="2:36" x14ac:dyDescent="0.35">
      <c r="B26" s="101"/>
      <c r="C26" s="101"/>
      <c r="D26" s="97"/>
      <c r="E26" s="101"/>
      <c r="F26" s="101"/>
      <c r="G26" s="101"/>
      <c r="H26" s="101"/>
      <c r="I26" s="38" t="s">
        <v>150</v>
      </c>
      <c r="J26" s="103"/>
      <c r="K26" s="56">
        <f>0.76*86.14</f>
        <v>65.466400000000007</v>
      </c>
      <c r="L26" s="114"/>
      <c r="M26" s="61"/>
      <c r="N26" s="95"/>
      <c r="O26" s="95"/>
      <c r="P26" s="103"/>
      <c r="Q26" s="38" t="s">
        <v>150</v>
      </c>
      <c r="R26" s="3">
        <v>79</v>
      </c>
      <c r="S26" s="95"/>
      <c r="T26" s="62">
        <f t="shared" si="2"/>
        <v>-13.533599999999993</v>
      </c>
      <c r="U26" s="134"/>
      <c r="V26" s="118"/>
      <c r="W26" s="134"/>
      <c r="X26" s="101"/>
      <c r="Y26" s="137"/>
    </row>
    <row r="27" spans="2:36" x14ac:dyDescent="0.35">
      <c r="B27" s="100">
        <v>10</v>
      </c>
      <c r="C27" s="100" t="s">
        <v>13</v>
      </c>
      <c r="D27" s="96" t="s">
        <v>142</v>
      </c>
      <c r="E27" s="100" t="s">
        <v>130</v>
      </c>
      <c r="F27" s="100" t="s">
        <v>143</v>
      </c>
      <c r="G27" s="100" t="s">
        <v>144</v>
      </c>
      <c r="H27" s="100">
        <v>6000004401</v>
      </c>
      <c r="I27" s="38" t="s">
        <v>180</v>
      </c>
      <c r="J27" s="103" t="s">
        <v>146</v>
      </c>
      <c r="K27" s="56">
        <f>0.9*86.14</f>
        <v>77.525999999999996</v>
      </c>
      <c r="L27" s="113">
        <f>K27+K28</f>
        <v>142.9924</v>
      </c>
      <c r="M27" s="61"/>
      <c r="N27" s="95" t="s">
        <v>95</v>
      </c>
      <c r="O27" s="95" t="s">
        <v>135</v>
      </c>
      <c r="P27" s="103" t="s">
        <v>181</v>
      </c>
      <c r="Q27" s="38" t="s">
        <v>145</v>
      </c>
      <c r="R27" s="3">
        <v>96</v>
      </c>
      <c r="S27" s="95">
        <f>R27+R28</f>
        <v>181</v>
      </c>
      <c r="T27" s="63">
        <f t="shared" si="2"/>
        <v>-18.474000000000004</v>
      </c>
      <c r="U27" s="132">
        <f>L27-S27</f>
        <v>-38.007599999999996</v>
      </c>
      <c r="V27" s="117">
        <f>U27/590</f>
        <v>-6.4419661016949153E-2</v>
      </c>
      <c r="W27" s="132">
        <f>(U27/L27)*100</f>
        <v>-26.580153910277748</v>
      </c>
      <c r="X27" s="100" t="s">
        <v>149</v>
      </c>
      <c r="Y27" s="135"/>
    </row>
    <row r="28" spans="2:36" x14ac:dyDescent="0.35">
      <c r="B28" s="101"/>
      <c r="C28" s="101"/>
      <c r="D28" s="97"/>
      <c r="E28" s="101"/>
      <c r="F28" s="101"/>
      <c r="G28" s="101"/>
      <c r="H28" s="101"/>
      <c r="I28" s="38" t="s">
        <v>182</v>
      </c>
      <c r="J28" s="103"/>
      <c r="K28" s="56">
        <f>0.76*86.14</f>
        <v>65.466400000000007</v>
      </c>
      <c r="L28" s="114"/>
      <c r="M28" s="61"/>
      <c r="N28" s="95"/>
      <c r="O28" s="95"/>
      <c r="P28" s="103"/>
      <c r="Q28" s="38" t="s">
        <v>150</v>
      </c>
      <c r="R28" s="3">
        <v>85</v>
      </c>
      <c r="S28" s="95"/>
      <c r="T28" s="46">
        <f t="shared" si="2"/>
        <v>-19.533599999999993</v>
      </c>
      <c r="U28" s="134"/>
      <c r="V28" s="118"/>
      <c r="W28" s="134"/>
      <c r="X28" s="101"/>
      <c r="Y28" s="137"/>
    </row>
    <row r="29" spans="2:36" x14ac:dyDescent="0.35">
      <c r="B29" s="100">
        <v>11</v>
      </c>
      <c r="C29" s="100" t="s">
        <v>13</v>
      </c>
      <c r="D29" s="96" t="s">
        <v>119</v>
      </c>
      <c r="E29" s="100" t="s">
        <v>130</v>
      </c>
      <c r="F29" s="100" t="s">
        <v>121</v>
      </c>
      <c r="G29" s="100" t="s">
        <v>183</v>
      </c>
      <c r="H29" s="100">
        <v>6000004269</v>
      </c>
      <c r="I29" s="38" t="s">
        <v>123</v>
      </c>
      <c r="J29" s="113" t="s">
        <v>131</v>
      </c>
      <c r="K29" s="57">
        <f>2.278*(L29/(2.278*2+1.134*2))</f>
        <v>2.7807356389214539</v>
      </c>
      <c r="L29" s="113">
        <v>8.33</v>
      </c>
      <c r="M29" s="61"/>
      <c r="N29" s="113" t="s">
        <v>87</v>
      </c>
      <c r="O29" s="113" t="s">
        <v>130</v>
      </c>
      <c r="P29" s="103" t="s">
        <v>184</v>
      </c>
      <c r="Q29" s="38" t="s">
        <v>123</v>
      </c>
      <c r="R29" s="57">
        <f>2.278*(S29/(2.278*2+1.134*2))</f>
        <v>2.8875586166471283</v>
      </c>
      <c r="S29" s="95">
        <v>8.65</v>
      </c>
      <c r="T29" s="46">
        <f t="shared" si="2"/>
        <v>-0.1068229777256744</v>
      </c>
      <c r="U29" s="128">
        <f>L29-S29</f>
        <v>-0.32000000000000028</v>
      </c>
      <c r="V29" s="117">
        <f>U29/590</f>
        <v>-5.4237288135593274E-4</v>
      </c>
      <c r="W29" s="132">
        <f>(U29/L29)*100</f>
        <v>-3.8415366146458614</v>
      </c>
      <c r="X29" s="100" t="s">
        <v>132</v>
      </c>
      <c r="Y29" s="135"/>
    </row>
    <row r="30" spans="2:36" x14ac:dyDescent="0.35">
      <c r="B30" s="101"/>
      <c r="C30" s="101"/>
      <c r="D30" s="97"/>
      <c r="E30" s="101"/>
      <c r="F30" s="101"/>
      <c r="G30" s="101"/>
      <c r="H30" s="101"/>
      <c r="I30" s="38" t="s">
        <v>129</v>
      </c>
      <c r="J30" s="114"/>
      <c r="K30" s="57">
        <f>1.134*(L29/(2.278*2+1.134*2))</f>
        <v>1.3842643610785463</v>
      </c>
      <c r="L30" s="114"/>
      <c r="M30" s="61"/>
      <c r="N30" s="114"/>
      <c r="O30" s="114"/>
      <c r="P30" s="103"/>
      <c r="Q30" s="38" t="s">
        <v>129</v>
      </c>
      <c r="R30" s="57">
        <f>1.134*(S29/(2.278*2+1.134*2))</f>
        <v>1.4374413833528723</v>
      </c>
      <c r="S30" s="95"/>
      <c r="T30" s="46">
        <f t="shared" si="2"/>
        <v>-5.3177022274325969E-2</v>
      </c>
      <c r="U30" s="130"/>
      <c r="V30" s="118"/>
      <c r="W30" s="134"/>
      <c r="X30" s="101"/>
      <c r="Y30" s="137"/>
    </row>
    <row r="31" spans="2:36" x14ac:dyDescent="0.35">
      <c r="B31" s="100">
        <v>12</v>
      </c>
      <c r="C31" s="100" t="s">
        <v>25</v>
      </c>
      <c r="D31" s="100" t="s">
        <v>173</v>
      </c>
      <c r="E31" s="100" t="s">
        <v>130</v>
      </c>
      <c r="F31" s="100" t="s">
        <v>157</v>
      </c>
      <c r="G31" s="113" t="s">
        <v>174</v>
      </c>
      <c r="H31" s="100">
        <v>6000004458</v>
      </c>
      <c r="I31" s="3" t="s">
        <v>175</v>
      </c>
      <c r="J31" s="113" t="s">
        <v>131</v>
      </c>
      <c r="K31" s="60">
        <v>1.22</v>
      </c>
      <c r="L31" s="113">
        <f>K31+K32+K33</f>
        <v>5.96</v>
      </c>
      <c r="M31" s="142">
        <v>45824</v>
      </c>
      <c r="N31" s="113" t="s">
        <v>25</v>
      </c>
      <c r="O31" s="107" t="s">
        <v>130</v>
      </c>
      <c r="P31" s="103" t="s">
        <v>185</v>
      </c>
      <c r="Q31" s="38" t="s">
        <v>70</v>
      </c>
      <c r="R31" s="3">
        <v>1.25</v>
      </c>
      <c r="S31" s="100">
        <f>R31+R32+R33</f>
        <v>6.25</v>
      </c>
      <c r="T31" s="49">
        <f t="shared" si="2"/>
        <v>-3.0000000000000027E-2</v>
      </c>
      <c r="U31" s="128">
        <f>L31-S31</f>
        <v>-0.29000000000000004</v>
      </c>
      <c r="V31" s="139">
        <f>U31/590</f>
        <v>-4.9152542372881357E-4</v>
      </c>
      <c r="W31" s="132">
        <f>(U31/L31)*100</f>
        <v>-4.8657718120805376</v>
      </c>
      <c r="X31" s="100" t="s">
        <v>132</v>
      </c>
      <c r="Y31" s="135"/>
    </row>
    <row r="32" spans="2:36" x14ac:dyDescent="0.35">
      <c r="B32" s="119"/>
      <c r="C32" s="119"/>
      <c r="D32" s="119"/>
      <c r="E32" s="119"/>
      <c r="F32" s="119"/>
      <c r="G32" s="126"/>
      <c r="H32" s="119"/>
      <c r="I32" s="3" t="s">
        <v>177</v>
      </c>
      <c r="J32" s="126"/>
      <c r="K32" s="60">
        <v>2.37</v>
      </c>
      <c r="L32" s="126"/>
      <c r="M32" s="142"/>
      <c r="N32" s="126"/>
      <c r="O32" s="107"/>
      <c r="P32" s="103"/>
      <c r="Q32" s="38" t="s">
        <v>162</v>
      </c>
      <c r="R32" s="3">
        <v>2.5</v>
      </c>
      <c r="S32" s="119"/>
      <c r="T32" s="49">
        <f t="shared" si="2"/>
        <v>-0.12999999999999989</v>
      </c>
      <c r="U32" s="129"/>
      <c r="V32" s="140"/>
      <c r="W32" s="133"/>
      <c r="X32" s="119"/>
      <c r="Y32" s="136"/>
    </row>
    <row r="33" spans="2:25" x14ac:dyDescent="0.35">
      <c r="B33" s="101"/>
      <c r="C33" s="101"/>
      <c r="D33" s="101"/>
      <c r="E33" s="101"/>
      <c r="F33" s="101"/>
      <c r="G33" s="114"/>
      <c r="H33" s="101"/>
      <c r="I33" s="3" t="s">
        <v>178</v>
      </c>
      <c r="J33" s="114"/>
      <c r="K33" s="60">
        <v>2.37</v>
      </c>
      <c r="L33" s="114"/>
      <c r="M33" s="142"/>
      <c r="N33" s="114"/>
      <c r="O33" s="107"/>
      <c r="P33" s="103"/>
      <c r="Q33" s="38" t="s">
        <v>164</v>
      </c>
      <c r="R33" s="3">
        <v>2.5</v>
      </c>
      <c r="S33" s="101"/>
      <c r="T33" s="49">
        <f t="shared" si="2"/>
        <v>-0.12999999999999989</v>
      </c>
      <c r="U33" s="130"/>
      <c r="V33" s="141"/>
      <c r="W33" s="134"/>
      <c r="X33" s="101"/>
      <c r="Y33" s="137"/>
    </row>
    <row r="34" spans="2:25" x14ac:dyDescent="0.35">
      <c r="B34" s="100">
        <v>13</v>
      </c>
      <c r="C34" s="100" t="s">
        <v>186</v>
      </c>
      <c r="D34" s="96" t="s">
        <v>142</v>
      </c>
      <c r="E34" s="100" t="s">
        <v>130</v>
      </c>
      <c r="F34" s="100" t="s">
        <v>143</v>
      </c>
      <c r="G34" s="100" t="s">
        <v>187</v>
      </c>
      <c r="H34" s="100">
        <v>6000004383</v>
      </c>
      <c r="I34" s="38" t="s">
        <v>145</v>
      </c>
      <c r="J34" s="103" t="s">
        <v>146</v>
      </c>
      <c r="K34" s="56">
        <f>0.9*86.14</f>
        <v>77.525999999999996</v>
      </c>
      <c r="L34" s="138">
        <f>K34+K35</f>
        <v>142.9924</v>
      </c>
      <c r="M34" s="142">
        <v>45853</v>
      </c>
      <c r="N34" s="95" t="s">
        <v>95</v>
      </c>
      <c r="O34" s="107" t="s">
        <v>130</v>
      </c>
      <c r="P34" s="103" t="s">
        <v>188</v>
      </c>
      <c r="Q34" s="38" t="s">
        <v>145</v>
      </c>
      <c r="R34" s="3">
        <v>90</v>
      </c>
      <c r="S34" s="95">
        <f>R34+R35</f>
        <v>165</v>
      </c>
      <c r="T34" s="46">
        <f t="shared" si="2"/>
        <v>-12.474000000000004</v>
      </c>
      <c r="U34" s="132">
        <f>L34-S34</f>
        <v>-22.007599999999996</v>
      </c>
      <c r="V34" s="132">
        <f>U34/590</f>
        <v>-3.7301016949152534E-2</v>
      </c>
      <c r="W34" s="132">
        <f>(U34/L34)*100</f>
        <v>-15.390748039755955</v>
      </c>
      <c r="X34" s="100" t="s">
        <v>149</v>
      </c>
      <c r="Y34" s="135"/>
    </row>
    <row r="35" spans="2:25" x14ac:dyDescent="0.35">
      <c r="B35" s="101"/>
      <c r="C35" s="101"/>
      <c r="D35" s="97"/>
      <c r="E35" s="101"/>
      <c r="F35" s="101"/>
      <c r="G35" s="101"/>
      <c r="H35" s="101"/>
      <c r="I35" s="38" t="s">
        <v>150</v>
      </c>
      <c r="J35" s="103"/>
      <c r="K35" s="56">
        <f>0.76*86.14</f>
        <v>65.466400000000007</v>
      </c>
      <c r="L35" s="114"/>
      <c r="M35" s="142"/>
      <c r="N35" s="95"/>
      <c r="O35" s="107"/>
      <c r="P35" s="103"/>
      <c r="Q35" s="38" t="s">
        <v>150</v>
      </c>
      <c r="R35" s="3">
        <v>75</v>
      </c>
      <c r="S35" s="95"/>
      <c r="T35" s="46">
        <f t="shared" si="2"/>
        <v>-9.5335999999999927</v>
      </c>
      <c r="U35" s="130"/>
      <c r="V35" s="134"/>
      <c r="W35" s="134"/>
      <c r="X35" s="101"/>
      <c r="Y35" s="137"/>
    </row>
    <row r="36" spans="2:25" x14ac:dyDescent="0.35">
      <c r="B36" s="100">
        <v>14</v>
      </c>
      <c r="C36" s="100" t="s">
        <v>13</v>
      </c>
      <c r="D36" s="96" t="s">
        <v>119</v>
      </c>
      <c r="E36" s="100" t="s">
        <v>130</v>
      </c>
      <c r="F36" s="100" t="s">
        <v>121</v>
      </c>
      <c r="G36" s="100" t="s">
        <v>183</v>
      </c>
      <c r="H36" s="100">
        <v>6000004269</v>
      </c>
      <c r="I36" s="38" t="s">
        <v>123</v>
      </c>
      <c r="J36" s="103" t="s">
        <v>146</v>
      </c>
      <c r="K36" s="57">
        <f>K29*86.14</f>
        <v>239.53256793669405</v>
      </c>
      <c r="L36" s="113">
        <f>L29*86.14</f>
        <v>717.5462</v>
      </c>
      <c r="M36" s="142">
        <v>45853</v>
      </c>
      <c r="N36" s="95" t="s">
        <v>95</v>
      </c>
      <c r="O36" s="107" t="s">
        <v>130</v>
      </c>
      <c r="P36" s="95" t="s">
        <v>189</v>
      </c>
      <c r="Q36" s="38" t="s">
        <v>123</v>
      </c>
      <c r="R36" s="57">
        <f>2.278*(S36/(2.278*2+1.134*2))</f>
        <v>282.07942555685815</v>
      </c>
      <c r="S36" s="100">
        <v>845</v>
      </c>
      <c r="T36" s="46">
        <f t="shared" si="2"/>
        <v>-42.546857620164104</v>
      </c>
      <c r="U36" s="132">
        <f>L36-S36</f>
        <v>-127.4538</v>
      </c>
      <c r="V36" s="132">
        <f>U36/590</f>
        <v>-0.21602338983050848</v>
      </c>
      <c r="W36" s="132">
        <f>(U36/L36)*100</f>
        <v>-17.762452090192937</v>
      </c>
      <c r="X36" s="100" t="s">
        <v>149</v>
      </c>
      <c r="Y36" s="135"/>
    </row>
    <row r="37" spans="2:25" x14ac:dyDescent="0.35">
      <c r="B37" s="101"/>
      <c r="C37" s="101"/>
      <c r="D37" s="97"/>
      <c r="E37" s="101"/>
      <c r="F37" s="101"/>
      <c r="G37" s="101"/>
      <c r="H37" s="101"/>
      <c r="I37" s="38" t="s">
        <v>129</v>
      </c>
      <c r="J37" s="103"/>
      <c r="K37" s="57">
        <f>K30*86.14</f>
        <v>119.24053206330598</v>
      </c>
      <c r="L37" s="114"/>
      <c r="M37" s="142"/>
      <c r="N37" s="95"/>
      <c r="O37" s="107"/>
      <c r="P37" s="95"/>
      <c r="Q37" s="38" t="s">
        <v>129</v>
      </c>
      <c r="R37" s="57">
        <f>1.134*(S36/(2.278*2+1.134*2))</f>
        <v>140.42057444314185</v>
      </c>
      <c r="S37" s="101"/>
      <c r="T37" s="46">
        <f t="shared" si="2"/>
        <v>-21.180042379835868</v>
      </c>
      <c r="U37" s="134"/>
      <c r="V37" s="134"/>
      <c r="W37" s="134"/>
      <c r="X37" s="101"/>
      <c r="Y37" s="137"/>
    </row>
    <row r="38" spans="2:25" ht="29" x14ac:dyDescent="0.35">
      <c r="B38" s="100">
        <v>15</v>
      </c>
      <c r="C38" s="100" t="s">
        <v>57</v>
      </c>
      <c r="D38" s="100" t="s">
        <v>171</v>
      </c>
      <c r="E38" s="100" t="s">
        <v>130</v>
      </c>
      <c r="F38" s="100" t="s">
        <v>121</v>
      </c>
      <c r="G38" s="100" t="s">
        <v>190</v>
      </c>
      <c r="H38" s="100">
        <v>6000004325</v>
      </c>
      <c r="I38" s="5" t="s">
        <v>191</v>
      </c>
      <c r="J38" s="113" t="s">
        <v>146</v>
      </c>
      <c r="K38" s="5">
        <f>7.1*86.14</f>
        <v>611.59399999999994</v>
      </c>
      <c r="L38" s="113">
        <f>K38+K39</f>
        <v>1227.4949999999999</v>
      </c>
      <c r="M38" s="142">
        <v>45853</v>
      </c>
      <c r="N38" s="143" t="s">
        <v>95</v>
      </c>
      <c r="O38" s="107" t="s">
        <v>130</v>
      </c>
      <c r="P38" s="95" t="s">
        <v>192</v>
      </c>
      <c r="Q38" s="38" t="s">
        <v>193</v>
      </c>
      <c r="R38" s="3">
        <v>845</v>
      </c>
      <c r="S38" s="95">
        <f>R38+R39</f>
        <v>1715</v>
      </c>
      <c r="T38" s="57">
        <f t="shared" si="2"/>
        <v>-233.40600000000006</v>
      </c>
      <c r="U38" s="132">
        <f>L38-S38</f>
        <v>-487.50500000000011</v>
      </c>
      <c r="V38" s="132">
        <f>U38/590</f>
        <v>-0.82627966101694938</v>
      </c>
      <c r="W38" s="132">
        <f>(U38/L38)*100</f>
        <v>-39.715436722756522</v>
      </c>
      <c r="X38" s="100" t="s">
        <v>149</v>
      </c>
      <c r="Y38" s="135"/>
    </row>
    <row r="39" spans="2:25" ht="29" x14ac:dyDescent="0.35">
      <c r="B39" s="101"/>
      <c r="C39" s="101"/>
      <c r="D39" s="101"/>
      <c r="E39" s="101"/>
      <c r="F39" s="101"/>
      <c r="G39" s="101"/>
      <c r="H39" s="101"/>
      <c r="I39" s="5" t="s">
        <v>194</v>
      </c>
      <c r="J39" s="114"/>
      <c r="K39" s="5">
        <f>7.15*86.14</f>
        <v>615.90100000000007</v>
      </c>
      <c r="L39" s="114"/>
      <c r="M39" s="142"/>
      <c r="N39" s="144"/>
      <c r="O39" s="107"/>
      <c r="P39" s="95"/>
      <c r="Q39" s="38" t="s">
        <v>195</v>
      </c>
      <c r="R39" s="3">
        <v>870</v>
      </c>
      <c r="S39" s="95"/>
      <c r="T39" s="57">
        <f t="shared" si="2"/>
        <v>-254.09899999999993</v>
      </c>
      <c r="U39" s="134"/>
      <c r="V39" s="134"/>
      <c r="W39" s="134"/>
      <c r="X39" s="101"/>
      <c r="Y39" s="137"/>
    </row>
    <row r="40" spans="2:25" x14ac:dyDescent="0.35">
      <c r="B40" s="100">
        <v>16</v>
      </c>
      <c r="C40" s="100" t="s">
        <v>186</v>
      </c>
      <c r="D40" s="96" t="s">
        <v>142</v>
      </c>
      <c r="E40" s="100" t="s">
        <v>130</v>
      </c>
      <c r="F40" s="100" t="s">
        <v>143</v>
      </c>
      <c r="G40" s="100" t="s">
        <v>187</v>
      </c>
      <c r="H40" s="100">
        <v>6000004382</v>
      </c>
      <c r="I40" s="38" t="s">
        <v>196</v>
      </c>
      <c r="J40" s="103" t="s">
        <v>146</v>
      </c>
      <c r="K40" s="56">
        <f>0.9*86.14</f>
        <v>77.525999999999996</v>
      </c>
      <c r="L40" s="138">
        <f>K40+K41</f>
        <v>142.9924</v>
      </c>
      <c r="M40" s="142">
        <v>45853</v>
      </c>
      <c r="N40" s="95" t="s">
        <v>95</v>
      </c>
      <c r="O40" s="107" t="s">
        <v>130</v>
      </c>
      <c r="P40" s="95" t="s">
        <v>197</v>
      </c>
      <c r="Q40" s="38" t="s">
        <v>145</v>
      </c>
      <c r="R40" s="3">
        <v>90</v>
      </c>
      <c r="S40" s="95">
        <f>R40+R41</f>
        <v>175</v>
      </c>
      <c r="T40" s="46">
        <f t="shared" si="2"/>
        <v>-12.474000000000004</v>
      </c>
      <c r="U40" s="132">
        <f>L40-S40</f>
        <v>-32.007599999999996</v>
      </c>
      <c r="V40" s="132">
        <f>U40/590</f>
        <v>-5.4250169491525418E-2</v>
      </c>
      <c r="W40" s="117">
        <f>(U40/L40)*100</f>
        <v>-22.384126708832074</v>
      </c>
      <c r="X40" s="100" t="s">
        <v>149</v>
      </c>
      <c r="Y40" s="135"/>
    </row>
    <row r="41" spans="2:25" x14ac:dyDescent="0.35">
      <c r="B41" s="101"/>
      <c r="C41" s="101"/>
      <c r="D41" s="97"/>
      <c r="E41" s="101"/>
      <c r="F41" s="101"/>
      <c r="G41" s="101"/>
      <c r="H41" s="101"/>
      <c r="I41" s="38" t="s">
        <v>198</v>
      </c>
      <c r="J41" s="103"/>
      <c r="K41" s="56">
        <f>0.76*86.14</f>
        <v>65.466400000000007</v>
      </c>
      <c r="L41" s="114"/>
      <c r="M41" s="142"/>
      <c r="N41" s="95"/>
      <c r="O41" s="107"/>
      <c r="P41" s="95"/>
      <c r="Q41" s="38" t="s">
        <v>150</v>
      </c>
      <c r="R41" s="3">
        <v>85</v>
      </c>
      <c r="S41" s="95"/>
      <c r="T41" s="46">
        <f t="shared" si="2"/>
        <v>-19.533599999999993</v>
      </c>
      <c r="U41" s="130"/>
      <c r="V41" s="134"/>
      <c r="W41" s="118"/>
      <c r="X41" s="101"/>
      <c r="Y41" s="137"/>
    </row>
    <row r="42" spans="2:25" x14ac:dyDescent="0.35">
      <c r="B42" s="100">
        <v>17</v>
      </c>
      <c r="C42" s="100" t="s">
        <v>186</v>
      </c>
      <c r="D42" s="96" t="s">
        <v>142</v>
      </c>
      <c r="E42" s="100" t="s">
        <v>130</v>
      </c>
      <c r="F42" s="100" t="s">
        <v>143</v>
      </c>
      <c r="G42" s="100" t="s">
        <v>187</v>
      </c>
      <c r="H42" s="100">
        <v>6000004383</v>
      </c>
      <c r="I42" s="38" t="s">
        <v>145</v>
      </c>
      <c r="J42" s="113" t="s">
        <v>131</v>
      </c>
      <c r="K42" s="56">
        <f>0.9</f>
        <v>0.9</v>
      </c>
      <c r="L42" s="138">
        <f>K42+K43</f>
        <v>1.6600000000000001</v>
      </c>
      <c r="M42" s="142">
        <v>45853</v>
      </c>
      <c r="N42" s="95" t="s">
        <v>25</v>
      </c>
      <c r="O42" s="107" t="s">
        <v>130</v>
      </c>
      <c r="P42" s="95" t="s">
        <v>199</v>
      </c>
      <c r="Q42" s="38" t="s">
        <v>145</v>
      </c>
      <c r="R42" s="3">
        <v>0.76</v>
      </c>
      <c r="S42" s="95">
        <f>R42+R43</f>
        <v>1.4100000000000001</v>
      </c>
      <c r="T42" s="57">
        <f t="shared" si="2"/>
        <v>0.14000000000000001</v>
      </c>
      <c r="U42" s="132">
        <f>L42-S42</f>
        <v>0.25</v>
      </c>
      <c r="V42" s="139">
        <f>U42/590</f>
        <v>4.2372881355932202E-4</v>
      </c>
      <c r="W42" s="117">
        <f>(V42/L42)*100</f>
        <v>2.5525832142127829E-2</v>
      </c>
      <c r="X42" s="100" t="s">
        <v>132</v>
      </c>
      <c r="Y42" s="135"/>
    </row>
    <row r="43" spans="2:25" x14ac:dyDescent="0.35">
      <c r="B43" s="101"/>
      <c r="C43" s="101"/>
      <c r="D43" s="97"/>
      <c r="E43" s="101"/>
      <c r="F43" s="101"/>
      <c r="G43" s="101"/>
      <c r="H43" s="101"/>
      <c r="I43" s="38" t="s">
        <v>150</v>
      </c>
      <c r="J43" s="114"/>
      <c r="K43" s="56">
        <f>0.76</f>
        <v>0.76</v>
      </c>
      <c r="L43" s="114"/>
      <c r="M43" s="142"/>
      <c r="N43" s="95"/>
      <c r="O43" s="107"/>
      <c r="P43" s="95"/>
      <c r="Q43" s="38" t="s">
        <v>150</v>
      </c>
      <c r="R43" s="3">
        <v>0.65</v>
      </c>
      <c r="S43" s="95"/>
      <c r="T43" s="57">
        <f>K42-R43</f>
        <v>0.25</v>
      </c>
      <c r="U43" s="130"/>
      <c r="V43" s="141"/>
      <c r="W43" s="118"/>
      <c r="X43" s="101"/>
      <c r="Y43" s="137"/>
    </row>
    <row r="44" spans="2:25" x14ac:dyDescent="0.35">
      <c r="B44" s="100">
        <v>18</v>
      </c>
      <c r="C44" s="100" t="s">
        <v>186</v>
      </c>
      <c r="D44" s="96" t="s">
        <v>142</v>
      </c>
      <c r="E44" s="100" t="s">
        <v>130</v>
      </c>
      <c r="F44" s="100" t="s">
        <v>143</v>
      </c>
      <c r="G44" s="100" t="s">
        <v>187</v>
      </c>
      <c r="H44" s="100">
        <v>6000004384</v>
      </c>
      <c r="I44" s="38" t="s">
        <v>180</v>
      </c>
      <c r="J44" s="113" t="s">
        <v>131</v>
      </c>
      <c r="K44" s="56">
        <f>0.9</f>
        <v>0.9</v>
      </c>
      <c r="L44" s="138">
        <f>K44+K45</f>
        <v>1.6600000000000001</v>
      </c>
      <c r="M44" s="61"/>
      <c r="N44" s="113" t="s">
        <v>57</v>
      </c>
      <c r="O44" s="113" t="s">
        <v>130</v>
      </c>
      <c r="P44" s="95" t="s">
        <v>200</v>
      </c>
      <c r="Q44" s="38" t="s">
        <v>145</v>
      </c>
      <c r="R44" s="3">
        <v>0.78</v>
      </c>
      <c r="S44" s="95">
        <f>R44+R45</f>
        <v>1.47</v>
      </c>
      <c r="T44" s="57">
        <f>K44-R44</f>
        <v>0.12</v>
      </c>
      <c r="U44" s="132">
        <f>L44-S44</f>
        <v>0.19000000000000017</v>
      </c>
      <c r="V44" s="117">
        <f>U44/590</f>
        <v>3.2203389830508505E-4</v>
      </c>
      <c r="W44" s="132">
        <f>(U44/L44)*100</f>
        <v>11.44578313253013</v>
      </c>
      <c r="X44" s="100" t="s">
        <v>132</v>
      </c>
      <c r="Y44" s="135"/>
    </row>
    <row r="45" spans="2:25" x14ac:dyDescent="0.35">
      <c r="B45" s="101"/>
      <c r="C45" s="101"/>
      <c r="D45" s="97"/>
      <c r="E45" s="101"/>
      <c r="F45" s="101"/>
      <c r="G45" s="101"/>
      <c r="H45" s="101"/>
      <c r="I45" s="38" t="s">
        <v>182</v>
      </c>
      <c r="J45" s="114"/>
      <c r="K45" s="56">
        <f>0.76</f>
        <v>0.76</v>
      </c>
      <c r="L45" s="114"/>
      <c r="M45" s="61"/>
      <c r="N45" s="114"/>
      <c r="O45" s="114"/>
      <c r="P45" s="95"/>
      <c r="Q45" s="38" t="s">
        <v>150</v>
      </c>
      <c r="R45" s="3">
        <v>0.69</v>
      </c>
      <c r="S45" s="95"/>
      <c r="T45" s="57">
        <f t="shared" ref="T45:T51" si="3">K45-R45</f>
        <v>7.0000000000000062E-2</v>
      </c>
      <c r="U45" s="130"/>
      <c r="V45" s="118"/>
      <c r="W45" s="134"/>
      <c r="X45" s="101"/>
      <c r="Y45" s="137"/>
    </row>
    <row r="46" spans="2:25" x14ac:dyDescent="0.35">
      <c r="B46" s="100">
        <v>19</v>
      </c>
      <c r="C46" s="100" t="s">
        <v>25</v>
      </c>
      <c r="D46" s="100" t="s">
        <v>173</v>
      </c>
      <c r="E46" s="100" t="s">
        <v>130</v>
      </c>
      <c r="F46" s="100" t="s">
        <v>157</v>
      </c>
      <c r="G46" s="113" t="s">
        <v>174</v>
      </c>
      <c r="H46" s="100">
        <v>6000004458</v>
      </c>
      <c r="I46" s="3" t="s">
        <v>175</v>
      </c>
      <c r="J46" s="113" t="s">
        <v>131</v>
      </c>
      <c r="K46" s="60">
        <v>1.22</v>
      </c>
      <c r="L46" s="113">
        <f>K46+K47+K48</f>
        <v>5.96</v>
      </c>
      <c r="M46" s="61"/>
      <c r="N46" s="100" t="s">
        <v>25</v>
      </c>
      <c r="O46" s="100" t="s">
        <v>130</v>
      </c>
      <c r="P46" s="95" t="s">
        <v>91</v>
      </c>
      <c r="Q46" s="38" t="s">
        <v>70</v>
      </c>
      <c r="R46" s="3">
        <v>1.25</v>
      </c>
      <c r="S46" s="100">
        <f>R46+R47+R48</f>
        <v>5.91</v>
      </c>
      <c r="T46" s="3">
        <f t="shared" si="3"/>
        <v>-3.0000000000000027E-2</v>
      </c>
      <c r="U46" s="128">
        <f>L46-S46</f>
        <v>4.9999999999999822E-2</v>
      </c>
      <c r="V46" s="145">
        <f>U46/590</f>
        <v>8.4745762711864101E-5</v>
      </c>
      <c r="W46" s="132">
        <f>(U46/L46)*100</f>
        <v>0.83892617449664131</v>
      </c>
      <c r="X46" s="100" t="s">
        <v>132</v>
      </c>
      <c r="Y46" s="135"/>
    </row>
    <row r="47" spans="2:25" x14ac:dyDescent="0.35">
      <c r="B47" s="119"/>
      <c r="C47" s="119"/>
      <c r="D47" s="119"/>
      <c r="E47" s="119"/>
      <c r="F47" s="119"/>
      <c r="G47" s="126"/>
      <c r="H47" s="119"/>
      <c r="I47" s="3" t="s">
        <v>177</v>
      </c>
      <c r="J47" s="126"/>
      <c r="K47" s="60">
        <v>2.37</v>
      </c>
      <c r="L47" s="126"/>
      <c r="M47" s="61"/>
      <c r="N47" s="119"/>
      <c r="O47" s="119"/>
      <c r="P47" s="95"/>
      <c r="Q47" s="38" t="s">
        <v>162</v>
      </c>
      <c r="R47" s="3">
        <v>2.33</v>
      </c>
      <c r="S47" s="119"/>
      <c r="T47" s="3">
        <f t="shared" si="3"/>
        <v>4.0000000000000036E-2</v>
      </c>
      <c r="U47" s="129"/>
      <c r="V47" s="146"/>
      <c r="W47" s="133"/>
      <c r="X47" s="119"/>
      <c r="Y47" s="136"/>
    </row>
    <row r="48" spans="2:25" x14ac:dyDescent="0.35">
      <c r="B48" s="101"/>
      <c r="C48" s="101"/>
      <c r="D48" s="101"/>
      <c r="E48" s="101"/>
      <c r="F48" s="101"/>
      <c r="G48" s="114"/>
      <c r="H48" s="101"/>
      <c r="I48" s="3" t="s">
        <v>178</v>
      </c>
      <c r="J48" s="114"/>
      <c r="K48" s="60">
        <v>2.37</v>
      </c>
      <c r="L48" s="114"/>
      <c r="M48" s="61"/>
      <c r="N48" s="101"/>
      <c r="O48" s="101"/>
      <c r="P48" s="95"/>
      <c r="Q48" s="38" t="s">
        <v>164</v>
      </c>
      <c r="R48" s="3">
        <v>2.33</v>
      </c>
      <c r="S48" s="101"/>
      <c r="T48" s="3">
        <f t="shared" si="3"/>
        <v>4.0000000000000036E-2</v>
      </c>
      <c r="U48" s="130"/>
      <c r="V48" s="147"/>
      <c r="W48" s="134"/>
      <c r="X48" s="101"/>
      <c r="Y48" s="137"/>
    </row>
    <row r="49" spans="2:25" x14ac:dyDescent="0.35">
      <c r="B49" s="95">
        <v>20</v>
      </c>
      <c r="C49" s="95" t="s">
        <v>25</v>
      </c>
      <c r="D49" s="95" t="s">
        <v>46</v>
      </c>
      <c r="E49" s="103" t="s">
        <v>130</v>
      </c>
      <c r="F49" s="100" t="s">
        <v>157</v>
      </c>
      <c r="G49" s="100" t="s">
        <v>165</v>
      </c>
      <c r="H49" s="100">
        <v>6000004468</v>
      </c>
      <c r="I49" s="38" t="s">
        <v>166</v>
      </c>
      <c r="J49" s="113" t="s">
        <v>146</v>
      </c>
      <c r="K49" s="56">
        <f>13.58*86.14</f>
        <v>1169.7812000000001</v>
      </c>
      <c r="L49" s="113">
        <f>K49+K50+K51</f>
        <v>3319.8355999999999</v>
      </c>
      <c r="M49" s="61"/>
      <c r="N49" s="113" t="s">
        <v>95</v>
      </c>
      <c r="O49" s="113" t="s">
        <v>130</v>
      </c>
      <c r="P49" s="96" t="s">
        <v>201</v>
      </c>
      <c r="Q49" s="38" t="s">
        <v>202</v>
      </c>
      <c r="R49" s="38">
        <v>1263</v>
      </c>
      <c r="S49" s="96">
        <f>R49+R50+R51</f>
        <v>3608</v>
      </c>
      <c r="T49" s="57">
        <f t="shared" si="3"/>
        <v>-93.218799999999874</v>
      </c>
      <c r="U49" s="132">
        <f>L49-S49</f>
        <v>-288.16440000000011</v>
      </c>
      <c r="V49" s="132">
        <f>U49/590</f>
        <v>-0.48841423728813577</v>
      </c>
      <c r="W49" s="132">
        <f>(U49/L49)*100</f>
        <v>-8.6800804232595183</v>
      </c>
      <c r="X49" s="100" t="s">
        <v>149</v>
      </c>
      <c r="Y49" s="135"/>
    </row>
    <row r="50" spans="2:25" x14ac:dyDescent="0.35">
      <c r="B50" s="95"/>
      <c r="C50" s="95"/>
      <c r="D50" s="95"/>
      <c r="E50" s="103"/>
      <c r="F50" s="119"/>
      <c r="G50" s="119"/>
      <c r="H50" s="119"/>
      <c r="I50" s="38" t="s">
        <v>170</v>
      </c>
      <c r="J50" s="126"/>
      <c r="K50" s="56">
        <f>12.48*86.14</f>
        <v>1075.0272</v>
      </c>
      <c r="L50" s="126"/>
      <c r="M50" s="61"/>
      <c r="N50" s="126"/>
      <c r="O50" s="126"/>
      <c r="P50" s="127"/>
      <c r="Q50" s="38" t="s">
        <v>203</v>
      </c>
      <c r="R50" s="38">
        <v>1166</v>
      </c>
      <c r="S50" s="127"/>
      <c r="T50" s="57">
        <f t="shared" si="3"/>
        <v>-90.972800000000007</v>
      </c>
      <c r="U50" s="133"/>
      <c r="V50" s="133"/>
      <c r="W50" s="133"/>
      <c r="X50" s="119"/>
      <c r="Y50" s="136"/>
    </row>
    <row r="51" spans="2:25" x14ac:dyDescent="0.35">
      <c r="B51" s="95"/>
      <c r="C51" s="95"/>
      <c r="D51" s="95"/>
      <c r="E51" s="103"/>
      <c r="F51" s="101"/>
      <c r="G51" s="101"/>
      <c r="H51" s="101"/>
      <c r="I51" s="38" t="s">
        <v>172</v>
      </c>
      <c r="J51" s="114"/>
      <c r="K51" s="56">
        <f>12.48*86.14</f>
        <v>1075.0272</v>
      </c>
      <c r="L51" s="114"/>
      <c r="M51" s="61"/>
      <c r="N51" s="114"/>
      <c r="O51" s="114"/>
      <c r="P51" s="97"/>
      <c r="Q51" s="38" t="s">
        <v>204</v>
      </c>
      <c r="R51" s="3">
        <v>1179</v>
      </c>
      <c r="S51" s="97"/>
      <c r="T51" s="57">
        <f t="shared" si="3"/>
        <v>-103.97280000000001</v>
      </c>
      <c r="U51" s="134"/>
      <c r="V51" s="134"/>
      <c r="W51" s="134"/>
      <c r="X51" s="101"/>
      <c r="Y51" s="137"/>
    </row>
    <row r="60" spans="2:25" x14ac:dyDescent="0.35">
      <c r="C60" s="1"/>
      <c r="D60" s="1"/>
      <c r="E60" s="1"/>
      <c r="G60" s="92" t="s">
        <v>97</v>
      </c>
      <c r="H60" s="93"/>
      <c r="I60" s="93"/>
      <c r="J60" s="93"/>
      <c r="K60" s="93"/>
      <c r="L60" s="94"/>
      <c r="M60" s="24"/>
      <c r="N60" s="92" t="s">
        <v>98</v>
      </c>
      <c r="O60" s="93"/>
      <c r="P60" s="93"/>
      <c r="Q60" s="93"/>
      <c r="R60" s="93"/>
      <c r="S60" s="94"/>
      <c r="T60" s="25"/>
      <c r="W60" s="26"/>
      <c r="X60" s="1"/>
    </row>
    <row r="61" spans="2:25" ht="30.65" customHeight="1" x14ac:dyDescent="0.35">
      <c r="C61" s="28" t="s">
        <v>2</v>
      </c>
      <c r="D61" s="28" t="s">
        <v>1</v>
      </c>
      <c r="E61" s="28" t="s">
        <v>100</v>
      </c>
      <c r="F61" s="29" t="s">
        <v>101</v>
      </c>
      <c r="G61" s="30" t="s">
        <v>102</v>
      </c>
      <c r="H61" s="31" t="s">
        <v>103</v>
      </c>
      <c r="I61" s="30" t="s">
        <v>104</v>
      </c>
      <c r="J61" s="30" t="s">
        <v>105</v>
      </c>
      <c r="K61" s="30" t="s">
        <v>106</v>
      </c>
      <c r="L61" s="30" t="s">
        <v>107</v>
      </c>
      <c r="M61" s="32" t="s">
        <v>108</v>
      </c>
      <c r="N61" s="32" t="s">
        <v>2</v>
      </c>
      <c r="O61" s="32" t="s">
        <v>100</v>
      </c>
      <c r="P61" s="33" t="s">
        <v>102</v>
      </c>
      <c r="Q61" s="32" t="s">
        <v>104</v>
      </c>
      <c r="R61" s="32" t="s">
        <v>106</v>
      </c>
      <c r="S61" s="34" t="s">
        <v>109</v>
      </c>
      <c r="T61" s="35" t="s">
        <v>110</v>
      </c>
      <c r="U61" s="36" t="s">
        <v>111</v>
      </c>
      <c r="V61" s="36" t="s">
        <v>112</v>
      </c>
      <c r="W61" s="36" t="s">
        <v>113</v>
      </c>
      <c r="X61" s="36" t="s">
        <v>114</v>
      </c>
    </row>
    <row r="62" spans="2:25" x14ac:dyDescent="0.35">
      <c r="C62" s="95" t="s">
        <v>13</v>
      </c>
      <c r="D62" s="96" t="s">
        <v>142</v>
      </c>
      <c r="E62" s="100" t="s">
        <v>130</v>
      </c>
      <c r="F62" s="100" t="s">
        <v>143</v>
      </c>
      <c r="G62" s="100" t="s">
        <v>144</v>
      </c>
      <c r="H62" s="100">
        <v>6000004401</v>
      </c>
      <c r="I62" s="38" t="s">
        <v>145</v>
      </c>
      <c r="J62" s="103" t="s">
        <v>146</v>
      </c>
      <c r="K62" s="56">
        <f>0.9*86.14</f>
        <v>77.525999999999996</v>
      </c>
      <c r="L62" s="113">
        <f>K62+K63</f>
        <v>142.9924</v>
      </c>
      <c r="M62" s="115"/>
      <c r="N62" s="95" t="s">
        <v>95</v>
      </c>
      <c r="O62" s="95" t="s">
        <v>135</v>
      </c>
      <c r="P62" s="96" t="s">
        <v>147</v>
      </c>
      <c r="Q62" s="3" t="s">
        <v>148</v>
      </c>
      <c r="R62" s="38">
        <v>86</v>
      </c>
      <c r="S62" s="96">
        <f>R62+R63</f>
        <v>165</v>
      </c>
      <c r="T62" s="39">
        <f>K62-R62</f>
        <v>-8.4740000000000038</v>
      </c>
      <c r="U62" s="106">
        <f>L62-S62</f>
        <v>-22.007599999999996</v>
      </c>
      <c r="V62" s="117">
        <f>U62/590</f>
        <v>-3.7301016949152534E-2</v>
      </c>
      <c r="W62" s="106">
        <f>(U62/L62)*100</f>
        <v>-15.390748039755955</v>
      </c>
      <c r="X62" s="95" t="s">
        <v>149</v>
      </c>
    </row>
    <row r="63" spans="2:25" x14ac:dyDescent="0.35">
      <c r="C63" s="95"/>
      <c r="D63" s="97"/>
      <c r="E63" s="101"/>
      <c r="F63" s="101"/>
      <c r="G63" s="101"/>
      <c r="H63" s="101"/>
      <c r="I63" s="38" t="s">
        <v>150</v>
      </c>
      <c r="J63" s="103"/>
      <c r="K63" s="56">
        <f>0.76*86.14</f>
        <v>65.466400000000007</v>
      </c>
      <c r="L63" s="114"/>
      <c r="M63" s="116"/>
      <c r="N63" s="95"/>
      <c r="O63" s="95"/>
      <c r="P63" s="97"/>
      <c r="Q63" s="49" t="s">
        <v>151</v>
      </c>
      <c r="R63" s="38">
        <v>79</v>
      </c>
      <c r="S63" s="97"/>
      <c r="T63" s="39">
        <f t="shared" ref="T63:T74" si="4">K63-R63</f>
        <v>-13.533599999999993</v>
      </c>
      <c r="U63" s="106"/>
      <c r="V63" s="118"/>
      <c r="W63" s="106"/>
      <c r="X63" s="95"/>
    </row>
    <row r="64" spans="2:25" x14ac:dyDescent="0.35">
      <c r="C64" s="95" t="s">
        <v>25</v>
      </c>
      <c r="D64" s="96" t="s">
        <v>142</v>
      </c>
      <c r="E64" s="109" t="s">
        <v>130</v>
      </c>
      <c r="F64" s="100" t="s">
        <v>143</v>
      </c>
      <c r="G64" s="102" t="s">
        <v>152</v>
      </c>
      <c r="H64" s="95">
        <v>6000004174</v>
      </c>
      <c r="I64" s="3" t="s">
        <v>153</v>
      </c>
      <c r="J64" s="103" t="s">
        <v>124</v>
      </c>
      <c r="K64" s="56">
        <v>207.5</v>
      </c>
      <c r="L64" s="125">
        <v>382.5</v>
      </c>
      <c r="M64" s="115"/>
      <c r="N64" s="95" t="s">
        <v>25</v>
      </c>
      <c r="O64" s="95" t="s">
        <v>130</v>
      </c>
      <c r="P64" s="96" t="s">
        <v>154</v>
      </c>
      <c r="Q64" s="3" t="s">
        <v>148</v>
      </c>
      <c r="R64" s="38">
        <v>200</v>
      </c>
      <c r="S64" s="96">
        <v>370</v>
      </c>
      <c r="T64" s="38">
        <f t="shared" si="4"/>
        <v>7.5</v>
      </c>
      <c r="U64" s="104">
        <f>L64-S64</f>
        <v>12.5</v>
      </c>
      <c r="V64" s="117">
        <f>U64/590</f>
        <v>2.1186440677966101E-2</v>
      </c>
      <c r="W64" s="106">
        <f>(U64/L64)*100</f>
        <v>3.2679738562091507</v>
      </c>
      <c r="X64" s="95" t="s">
        <v>155</v>
      </c>
    </row>
    <row r="65" spans="3:24" x14ac:dyDescent="0.35">
      <c r="C65" s="95"/>
      <c r="D65" s="97"/>
      <c r="E65" s="109"/>
      <c r="F65" s="101"/>
      <c r="G65" s="102"/>
      <c r="H65" s="95"/>
      <c r="I65" s="3" t="s">
        <v>156</v>
      </c>
      <c r="J65" s="103"/>
      <c r="K65" s="56">
        <v>175</v>
      </c>
      <c r="L65" s="125"/>
      <c r="M65" s="116"/>
      <c r="N65" s="95"/>
      <c r="O65" s="95"/>
      <c r="P65" s="97"/>
      <c r="Q65" s="49" t="s">
        <v>151</v>
      </c>
      <c r="R65" s="38">
        <v>170</v>
      </c>
      <c r="S65" s="97"/>
      <c r="T65" s="38">
        <f t="shared" si="4"/>
        <v>5</v>
      </c>
      <c r="U65" s="104"/>
      <c r="V65" s="118"/>
      <c r="W65" s="106"/>
      <c r="X65" s="95"/>
    </row>
    <row r="66" spans="3:24" x14ac:dyDescent="0.35">
      <c r="C66" s="100" t="s">
        <v>13</v>
      </c>
      <c r="D66" s="96" t="s">
        <v>142</v>
      </c>
      <c r="E66" s="100" t="s">
        <v>130</v>
      </c>
      <c r="F66" s="100" t="s">
        <v>143</v>
      </c>
      <c r="G66" s="100" t="s">
        <v>144</v>
      </c>
      <c r="H66" s="100">
        <v>6000004401</v>
      </c>
      <c r="I66" s="38" t="s">
        <v>145</v>
      </c>
      <c r="J66" s="103" t="s">
        <v>146</v>
      </c>
      <c r="K66" s="56">
        <f>0.9*86.14</f>
        <v>77.525999999999996</v>
      </c>
      <c r="L66" s="113">
        <f>K66+K67</f>
        <v>142.9924</v>
      </c>
      <c r="M66" s="61"/>
      <c r="N66" s="95" t="s">
        <v>95</v>
      </c>
      <c r="O66" s="95" t="s">
        <v>135</v>
      </c>
      <c r="P66" s="103" t="s">
        <v>179</v>
      </c>
      <c r="Q66" s="38" t="s">
        <v>148</v>
      </c>
      <c r="R66" s="3">
        <v>100</v>
      </c>
      <c r="S66" s="95">
        <f>R66+R67</f>
        <v>179</v>
      </c>
      <c r="T66" s="62">
        <f t="shared" si="4"/>
        <v>-22.474000000000004</v>
      </c>
      <c r="U66" s="132">
        <f>L66-S66</f>
        <v>-36.007599999999996</v>
      </c>
      <c r="V66" s="117">
        <f>U66/590</f>
        <v>-6.1029830508474568E-2</v>
      </c>
      <c r="W66" s="132">
        <f>(U66/L66)*100</f>
        <v>-25.181478176462523</v>
      </c>
      <c r="X66" s="100" t="s">
        <v>149</v>
      </c>
    </row>
    <row r="67" spans="3:24" x14ac:dyDescent="0.35">
      <c r="C67" s="101"/>
      <c r="D67" s="97"/>
      <c r="E67" s="101"/>
      <c r="F67" s="101"/>
      <c r="G67" s="101"/>
      <c r="H67" s="101"/>
      <c r="I67" s="38" t="s">
        <v>150</v>
      </c>
      <c r="J67" s="103"/>
      <c r="K67" s="56">
        <f>0.76*86.14</f>
        <v>65.466400000000007</v>
      </c>
      <c r="L67" s="114"/>
      <c r="M67" s="61"/>
      <c r="N67" s="95"/>
      <c r="O67" s="95"/>
      <c r="P67" s="103"/>
      <c r="Q67" s="38" t="s">
        <v>150</v>
      </c>
      <c r="R67" s="3">
        <v>79</v>
      </c>
      <c r="S67" s="95"/>
      <c r="T67" s="62">
        <f t="shared" si="4"/>
        <v>-13.533599999999993</v>
      </c>
      <c r="U67" s="134"/>
      <c r="V67" s="118"/>
      <c r="W67" s="134"/>
      <c r="X67" s="101"/>
    </row>
    <row r="68" spans="3:24" x14ac:dyDescent="0.35">
      <c r="C68" s="100" t="s">
        <v>13</v>
      </c>
      <c r="D68" s="96" t="s">
        <v>142</v>
      </c>
      <c r="E68" s="100" t="s">
        <v>130</v>
      </c>
      <c r="F68" s="100" t="s">
        <v>143</v>
      </c>
      <c r="G68" s="100" t="s">
        <v>144</v>
      </c>
      <c r="H68" s="100">
        <v>6000004401</v>
      </c>
      <c r="I68" s="38" t="s">
        <v>180</v>
      </c>
      <c r="J68" s="103" t="s">
        <v>146</v>
      </c>
      <c r="K68" s="56">
        <f>0.9*86.14</f>
        <v>77.525999999999996</v>
      </c>
      <c r="L68" s="113">
        <f>K68+K69</f>
        <v>142.9924</v>
      </c>
      <c r="M68" s="61"/>
      <c r="N68" s="95" t="s">
        <v>95</v>
      </c>
      <c r="O68" s="95" t="s">
        <v>135</v>
      </c>
      <c r="P68" s="103" t="s">
        <v>181</v>
      </c>
      <c r="Q68" s="38" t="s">
        <v>145</v>
      </c>
      <c r="R68" s="3">
        <v>96</v>
      </c>
      <c r="S68" s="95">
        <f>R68+R69</f>
        <v>181</v>
      </c>
      <c r="T68" s="63">
        <f t="shared" si="4"/>
        <v>-18.474000000000004</v>
      </c>
      <c r="U68" s="132">
        <f>L68-S68</f>
        <v>-38.007599999999996</v>
      </c>
      <c r="V68" s="117">
        <f>U68/590</f>
        <v>-6.4419661016949153E-2</v>
      </c>
      <c r="W68" s="132">
        <f>(U68/L68)*100</f>
        <v>-26.580153910277748</v>
      </c>
      <c r="X68" s="100" t="s">
        <v>149</v>
      </c>
    </row>
    <row r="69" spans="3:24" x14ac:dyDescent="0.35">
      <c r="C69" s="101"/>
      <c r="D69" s="97"/>
      <c r="E69" s="101"/>
      <c r="F69" s="101"/>
      <c r="G69" s="101"/>
      <c r="H69" s="101"/>
      <c r="I69" s="38" t="s">
        <v>182</v>
      </c>
      <c r="J69" s="103"/>
      <c r="K69" s="56">
        <f>0.76*86.14</f>
        <v>65.466400000000007</v>
      </c>
      <c r="L69" s="114"/>
      <c r="M69" s="61"/>
      <c r="N69" s="95"/>
      <c r="O69" s="95"/>
      <c r="P69" s="103"/>
      <c r="Q69" s="38" t="s">
        <v>150</v>
      </c>
      <c r="R69" s="3">
        <v>85</v>
      </c>
      <c r="S69" s="95"/>
      <c r="T69" s="46">
        <f t="shared" si="4"/>
        <v>-19.533599999999993</v>
      </c>
      <c r="U69" s="134"/>
      <c r="V69" s="118"/>
      <c r="W69" s="134"/>
      <c r="X69" s="101"/>
    </row>
    <row r="70" spans="3:24" x14ac:dyDescent="0.35">
      <c r="C70" s="100" t="s">
        <v>186</v>
      </c>
      <c r="D70" s="96" t="s">
        <v>142</v>
      </c>
      <c r="E70" s="100" t="s">
        <v>130</v>
      </c>
      <c r="F70" s="100" t="s">
        <v>143</v>
      </c>
      <c r="G70" s="100" t="s">
        <v>187</v>
      </c>
      <c r="H70" s="100">
        <v>6000004383</v>
      </c>
      <c r="I70" s="38" t="s">
        <v>145</v>
      </c>
      <c r="J70" s="103" t="s">
        <v>146</v>
      </c>
      <c r="K70" s="56">
        <f>0.9*86.14</f>
        <v>77.525999999999996</v>
      </c>
      <c r="L70" s="138">
        <f>K70+K71</f>
        <v>142.9924</v>
      </c>
      <c r="M70" s="142">
        <v>45853</v>
      </c>
      <c r="N70" s="95" t="s">
        <v>95</v>
      </c>
      <c r="O70" s="107" t="s">
        <v>130</v>
      </c>
      <c r="P70" s="103" t="s">
        <v>188</v>
      </c>
      <c r="Q70" s="38" t="s">
        <v>145</v>
      </c>
      <c r="R70" s="3">
        <v>90</v>
      </c>
      <c r="S70" s="95">
        <f>R70+R71</f>
        <v>165</v>
      </c>
      <c r="T70" s="46">
        <f t="shared" si="4"/>
        <v>-12.474000000000004</v>
      </c>
      <c r="U70" s="132">
        <f>L70-S70</f>
        <v>-22.007599999999996</v>
      </c>
      <c r="V70" s="132">
        <f>U70/590</f>
        <v>-3.7301016949152534E-2</v>
      </c>
      <c r="W70" s="132">
        <f>(U70/L70)*100</f>
        <v>-15.390748039755955</v>
      </c>
      <c r="X70" s="100" t="s">
        <v>149</v>
      </c>
    </row>
    <row r="71" spans="3:24" x14ac:dyDescent="0.35">
      <c r="C71" s="101"/>
      <c r="D71" s="97"/>
      <c r="E71" s="101"/>
      <c r="F71" s="101"/>
      <c r="G71" s="101"/>
      <c r="H71" s="101"/>
      <c r="I71" s="38" t="s">
        <v>150</v>
      </c>
      <c r="J71" s="103"/>
      <c r="K71" s="56">
        <f>0.76*86.14</f>
        <v>65.466400000000007</v>
      </c>
      <c r="L71" s="114"/>
      <c r="M71" s="142"/>
      <c r="N71" s="95"/>
      <c r="O71" s="107"/>
      <c r="P71" s="103"/>
      <c r="Q71" s="38" t="s">
        <v>150</v>
      </c>
      <c r="R71" s="3">
        <v>75</v>
      </c>
      <c r="S71" s="95"/>
      <c r="T71" s="46">
        <f t="shared" si="4"/>
        <v>-9.5335999999999927</v>
      </c>
      <c r="U71" s="130"/>
      <c r="V71" s="134"/>
      <c r="W71" s="134"/>
      <c r="X71" s="101"/>
    </row>
    <row r="72" spans="3:24" x14ac:dyDescent="0.35">
      <c r="C72" s="100" t="s">
        <v>186</v>
      </c>
      <c r="D72" s="96" t="s">
        <v>142</v>
      </c>
      <c r="E72" s="100" t="s">
        <v>130</v>
      </c>
      <c r="F72" s="100" t="s">
        <v>143</v>
      </c>
      <c r="G72" s="100" t="s">
        <v>187</v>
      </c>
      <c r="H72" s="100">
        <v>6000004382</v>
      </c>
      <c r="I72" s="38" t="s">
        <v>196</v>
      </c>
      <c r="J72" s="103" t="s">
        <v>146</v>
      </c>
      <c r="K72" s="56">
        <f>0.9*86.14</f>
        <v>77.525999999999996</v>
      </c>
      <c r="L72" s="138">
        <f>K72+K73</f>
        <v>142.9924</v>
      </c>
      <c r="M72" s="142">
        <v>45853</v>
      </c>
      <c r="N72" s="95" t="s">
        <v>95</v>
      </c>
      <c r="O72" s="107" t="s">
        <v>130</v>
      </c>
      <c r="P72" s="95" t="s">
        <v>197</v>
      </c>
      <c r="Q72" s="38" t="s">
        <v>145</v>
      </c>
      <c r="R72" s="3">
        <v>90</v>
      </c>
      <c r="S72" s="95">
        <f>R72+R73</f>
        <v>175</v>
      </c>
      <c r="T72" s="46">
        <f t="shared" si="4"/>
        <v>-12.474000000000004</v>
      </c>
      <c r="U72" s="132">
        <f>L72-S72</f>
        <v>-32.007599999999996</v>
      </c>
      <c r="V72" s="132">
        <f>U72/590</f>
        <v>-5.4250169491525418E-2</v>
      </c>
      <c r="W72" s="117">
        <f>(U72/L72)*100</f>
        <v>-22.384126708832074</v>
      </c>
      <c r="X72" s="100" t="s">
        <v>149</v>
      </c>
    </row>
    <row r="73" spans="3:24" x14ac:dyDescent="0.35">
      <c r="C73" s="101"/>
      <c r="D73" s="97"/>
      <c r="E73" s="101"/>
      <c r="F73" s="101"/>
      <c r="G73" s="101"/>
      <c r="H73" s="101"/>
      <c r="I73" s="38" t="s">
        <v>198</v>
      </c>
      <c r="J73" s="103"/>
      <c r="K73" s="56">
        <f>0.76*86.14</f>
        <v>65.466400000000007</v>
      </c>
      <c r="L73" s="114"/>
      <c r="M73" s="142"/>
      <c r="N73" s="95"/>
      <c r="O73" s="107"/>
      <c r="P73" s="95"/>
      <c r="Q73" s="38" t="s">
        <v>150</v>
      </c>
      <c r="R73" s="3">
        <v>85</v>
      </c>
      <c r="S73" s="95"/>
      <c r="T73" s="46">
        <f t="shared" si="4"/>
        <v>-19.533599999999993</v>
      </c>
      <c r="U73" s="130"/>
      <c r="V73" s="134"/>
      <c r="W73" s="118"/>
      <c r="X73" s="101"/>
    </row>
    <row r="74" spans="3:24" x14ac:dyDescent="0.35">
      <c r="C74" s="100" t="s">
        <v>186</v>
      </c>
      <c r="D74" s="96" t="s">
        <v>142</v>
      </c>
      <c r="E74" s="100" t="s">
        <v>130</v>
      </c>
      <c r="F74" s="100" t="s">
        <v>143</v>
      </c>
      <c r="G74" s="100" t="s">
        <v>187</v>
      </c>
      <c r="H74" s="100">
        <v>6000004383</v>
      </c>
      <c r="I74" s="38" t="s">
        <v>145</v>
      </c>
      <c r="J74" s="113" t="s">
        <v>131</v>
      </c>
      <c r="K74" s="56">
        <f>0.9</f>
        <v>0.9</v>
      </c>
      <c r="L74" s="138">
        <f>K74+K75</f>
        <v>1.6600000000000001</v>
      </c>
      <c r="M74" s="142">
        <v>45853</v>
      </c>
      <c r="N74" s="95" t="s">
        <v>25</v>
      </c>
      <c r="O74" s="107" t="s">
        <v>130</v>
      </c>
      <c r="P74" s="95" t="s">
        <v>199</v>
      </c>
      <c r="Q74" s="38" t="s">
        <v>145</v>
      </c>
      <c r="R74" s="3">
        <v>0.76</v>
      </c>
      <c r="S74" s="95">
        <f>R74+R75</f>
        <v>1.4100000000000001</v>
      </c>
      <c r="T74" s="57">
        <f t="shared" si="4"/>
        <v>0.14000000000000001</v>
      </c>
      <c r="U74" s="132">
        <f>L74-S74</f>
        <v>0.25</v>
      </c>
      <c r="V74" s="139">
        <f>U74/590</f>
        <v>4.2372881355932202E-4</v>
      </c>
      <c r="W74" s="117">
        <f>(V74/L74)*100</f>
        <v>2.5525832142127829E-2</v>
      </c>
      <c r="X74" s="100" t="s">
        <v>132</v>
      </c>
    </row>
    <row r="75" spans="3:24" x14ac:dyDescent="0.35">
      <c r="C75" s="101"/>
      <c r="D75" s="97"/>
      <c r="E75" s="101"/>
      <c r="F75" s="101"/>
      <c r="G75" s="101"/>
      <c r="H75" s="101"/>
      <c r="I75" s="38" t="s">
        <v>150</v>
      </c>
      <c r="J75" s="114"/>
      <c r="K75" s="56">
        <f>0.76</f>
        <v>0.76</v>
      </c>
      <c r="L75" s="114"/>
      <c r="M75" s="142"/>
      <c r="N75" s="95"/>
      <c r="O75" s="107"/>
      <c r="P75" s="95"/>
      <c r="Q75" s="38" t="s">
        <v>150</v>
      </c>
      <c r="R75" s="3">
        <v>0.65</v>
      </c>
      <c r="S75" s="95"/>
      <c r="T75" s="57">
        <f>K74-R75</f>
        <v>0.25</v>
      </c>
      <c r="U75" s="130"/>
      <c r="V75" s="141"/>
      <c r="W75" s="118"/>
      <c r="X75" s="101"/>
    </row>
    <row r="76" spans="3:24" x14ac:dyDescent="0.35">
      <c r="C76" s="100" t="s">
        <v>186</v>
      </c>
      <c r="D76" s="96" t="s">
        <v>142</v>
      </c>
      <c r="E76" s="100" t="s">
        <v>130</v>
      </c>
      <c r="F76" s="100" t="s">
        <v>143</v>
      </c>
      <c r="G76" s="100" t="s">
        <v>187</v>
      </c>
      <c r="H76" s="100">
        <v>6000004384</v>
      </c>
      <c r="I76" s="38" t="s">
        <v>180</v>
      </c>
      <c r="J76" s="113" t="s">
        <v>131</v>
      </c>
      <c r="K76" s="56">
        <f>0.9</f>
        <v>0.9</v>
      </c>
      <c r="L76" s="138">
        <f>K76+K77</f>
        <v>1.6600000000000001</v>
      </c>
      <c r="M76" s="61"/>
      <c r="N76" s="113" t="s">
        <v>57</v>
      </c>
      <c r="O76" s="113" t="s">
        <v>130</v>
      </c>
      <c r="P76" s="95" t="s">
        <v>200</v>
      </c>
      <c r="Q76" s="38" t="s">
        <v>145</v>
      </c>
      <c r="R76" s="3">
        <v>0.78</v>
      </c>
      <c r="S76" s="95">
        <f>R76+R77</f>
        <v>1.47</v>
      </c>
      <c r="T76" s="57">
        <f>K76-R76</f>
        <v>0.12</v>
      </c>
      <c r="U76" s="132">
        <f>L76-S76</f>
        <v>0.19000000000000017</v>
      </c>
      <c r="V76" s="117">
        <f>U76/590</f>
        <v>3.2203389830508505E-4</v>
      </c>
      <c r="W76" s="132">
        <f>(U76/L76)*100</f>
        <v>11.44578313253013</v>
      </c>
      <c r="X76" s="100" t="s">
        <v>132</v>
      </c>
    </row>
    <row r="77" spans="3:24" x14ac:dyDescent="0.35">
      <c r="C77" s="101"/>
      <c r="D77" s="97"/>
      <c r="E77" s="101"/>
      <c r="F77" s="101"/>
      <c r="G77" s="101"/>
      <c r="H77" s="101"/>
      <c r="I77" s="38" t="s">
        <v>182</v>
      </c>
      <c r="J77" s="114"/>
      <c r="K77" s="56">
        <f>0.76</f>
        <v>0.76</v>
      </c>
      <c r="L77" s="114"/>
      <c r="M77" s="61"/>
      <c r="N77" s="114"/>
      <c r="O77" s="114"/>
      <c r="P77" s="95"/>
      <c r="Q77" s="38" t="s">
        <v>150</v>
      </c>
      <c r="R77" s="3">
        <v>0.69</v>
      </c>
      <c r="S77" s="95"/>
      <c r="T77" s="57">
        <f t="shared" ref="T77" si="5">K77-R77</f>
        <v>7.0000000000000062E-2</v>
      </c>
      <c r="U77" s="130"/>
      <c r="V77" s="118"/>
      <c r="W77" s="134"/>
      <c r="X77" s="101"/>
    </row>
    <row r="87" spans="5:12" ht="29" x14ac:dyDescent="0.35">
      <c r="E87" s="25" t="s">
        <v>205</v>
      </c>
      <c r="F87" s="25" t="s">
        <v>97</v>
      </c>
      <c r="G87" s="25" t="s">
        <v>206</v>
      </c>
      <c r="H87" s="25" t="s">
        <v>98</v>
      </c>
      <c r="I87" s="25" t="s">
        <v>206</v>
      </c>
      <c r="J87" s="26" t="s">
        <v>207</v>
      </c>
      <c r="K87" s="26" t="s">
        <v>208</v>
      </c>
      <c r="L87" s="26" t="s">
        <v>113</v>
      </c>
    </row>
    <row r="88" spans="5:12" x14ac:dyDescent="0.35">
      <c r="E88" s="17">
        <v>1</v>
      </c>
      <c r="F88" s="1" t="s">
        <v>209</v>
      </c>
      <c r="G88" s="2">
        <v>142.9924</v>
      </c>
      <c r="H88" s="50" t="s">
        <v>210</v>
      </c>
      <c r="I88" s="50">
        <v>165</v>
      </c>
      <c r="J88" s="2">
        <f>G88-I88</f>
        <v>-22.007599999999996</v>
      </c>
      <c r="K88" s="64">
        <f>J88/590</f>
        <v>-3.7301016949152534E-2</v>
      </c>
      <c r="L88" s="65">
        <f>(J88/G88)*100</f>
        <v>-15.390748039755955</v>
      </c>
    </row>
    <row r="89" spans="5:12" x14ac:dyDescent="0.35">
      <c r="E89" s="17">
        <v>2</v>
      </c>
      <c r="F89" s="1" t="s">
        <v>211</v>
      </c>
      <c r="G89" s="66">
        <v>382.5</v>
      </c>
      <c r="H89" s="50" t="s">
        <v>154</v>
      </c>
      <c r="I89" s="50">
        <v>370</v>
      </c>
      <c r="J89" s="2">
        <f t="shared" ref="J89:J95" si="6">G89-I89</f>
        <v>12.5</v>
      </c>
      <c r="K89" s="64">
        <f t="shared" ref="K89:K95" si="7">J89/590</f>
        <v>2.1186440677966101E-2</v>
      </c>
      <c r="L89" s="65">
        <f t="shared" ref="L89:L95" si="8">(J89/G89)*100</f>
        <v>3.2679738562091507</v>
      </c>
    </row>
    <row r="90" spans="5:12" x14ac:dyDescent="0.35">
      <c r="E90" s="17">
        <v>3</v>
      </c>
      <c r="F90" s="1" t="s">
        <v>209</v>
      </c>
      <c r="G90" s="2">
        <v>142.9924</v>
      </c>
      <c r="H90" s="50" t="s">
        <v>179</v>
      </c>
      <c r="I90" s="1">
        <v>179</v>
      </c>
      <c r="J90" s="2">
        <f t="shared" si="6"/>
        <v>-36.007599999999996</v>
      </c>
      <c r="K90" s="64">
        <f t="shared" si="7"/>
        <v>-6.1029830508474568E-2</v>
      </c>
      <c r="L90" s="65">
        <f t="shared" si="8"/>
        <v>-25.181478176462523</v>
      </c>
    </row>
    <row r="91" spans="5:12" x14ac:dyDescent="0.35">
      <c r="E91" s="17">
        <v>4</v>
      </c>
      <c r="F91" s="1" t="s">
        <v>209</v>
      </c>
      <c r="G91" s="2">
        <v>142.9924</v>
      </c>
      <c r="H91" s="50" t="s">
        <v>212</v>
      </c>
      <c r="I91" s="1">
        <v>181</v>
      </c>
      <c r="J91" s="2">
        <f t="shared" si="6"/>
        <v>-38.007599999999996</v>
      </c>
      <c r="K91" s="64">
        <f t="shared" si="7"/>
        <v>-6.4419661016949153E-2</v>
      </c>
      <c r="L91" s="65">
        <f t="shared" si="8"/>
        <v>-26.580153910277748</v>
      </c>
    </row>
    <row r="92" spans="5:12" x14ac:dyDescent="0.35">
      <c r="E92" s="17">
        <v>5</v>
      </c>
      <c r="F92" s="1" t="s">
        <v>213</v>
      </c>
      <c r="G92" s="65">
        <v>142.9924</v>
      </c>
      <c r="H92" s="50" t="s">
        <v>214</v>
      </c>
      <c r="I92" s="1">
        <v>165</v>
      </c>
      <c r="J92" s="2">
        <f t="shared" si="6"/>
        <v>-22.007599999999996</v>
      </c>
      <c r="K92" s="64">
        <f t="shared" si="7"/>
        <v>-3.7301016949152534E-2</v>
      </c>
      <c r="L92" s="65">
        <f t="shared" si="8"/>
        <v>-15.390748039755955</v>
      </c>
    </row>
    <row r="93" spans="5:12" x14ac:dyDescent="0.35">
      <c r="E93" s="17">
        <v>6</v>
      </c>
      <c r="F93" s="1" t="s">
        <v>209</v>
      </c>
      <c r="G93" s="65">
        <v>142.9924</v>
      </c>
      <c r="H93" s="1" t="s">
        <v>215</v>
      </c>
      <c r="I93" s="1">
        <v>175</v>
      </c>
      <c r="J93" s="2">
        <f t="shared" si="6"/>
        <v>-32.007599999999996</v>
      </c>
      <c r="K93" s="64">
        <f t="shared" si="7"/>
        <v>-5.4250169491525418E-2</v>
      </c>
      <c r="L93" s="65">
        <f t="shared" si="8"/>
        <v>-22.384126708832074</v>
      </c>
    </row>
    <row r="94" spans="5:12" x14ac:dyDescent="0.35">
      <c r="E94" s="17">
        <v>7</v>
      </c>
      <c r="F94" s="1" t="s">
        <v>209</v>
      </c>
      <c r="G94" s="65">
        <f>1.66*86.14</f>
        <v>142.9924</v>
      </c>
      <c r="H94" s="1" t="s">
        <v>216</v>
      </c>
      <c r="I94" s="1">
        <f>1.41*86.14</f>
        <v>121.45739999999999</v>
      </c>
      <c r="J94" s="2">
        <f t="shared" si="6"/>
        <v>21.535000000000011</v>
      </c>
      <c r="K94" s="64">
        <f t="shared" si="7"/>
        <v>3.6500000000000019E-2</v>
      </c>
      <c r="L94" s="65">
        <f t="shared" si="8"/>
        <v>15.060240963855428</v>
      </c>
    </row>
    <row r="95" spans="5:12" x14ac:dyDescent="0.35">
      <c r="E95" s="17">
        <v>8</v>
      </c>
      <c r="F95" s="1" t="s">
        <v>209</v>
      </c>
      <c r="G95" s="65">
        <f>1.66*86.14</f>
        <v>142.9924</v>
      </c>
      <c r="H95" s="1" t="s">
        <v>200</v>
      </c>
      <c r="I95" s="1">
        <f>1.47*86.14</f>
        <v>126.6258</v>
      </c>
      <c r="J95" s="2">
        <f t="shared" si="6"/>
        <v>16.366600000000005</v>
      </c>
      <c r="K95" s="64">
        <f t="shared" si="7"/>
        <v>2.7740000000000008E-2</v>
      </c>
      <c r="L95" s="65">
        <f t="shared" si="8"/>
        <v>11.445783132530124</v>
      </c>
    </row>
    <row r="96" spans="5:12" x14ac:dyDescent="0.35">
      <c r="G96" s="2"/>
    </row>
    <row r="97" spans="6:9" x14ac:dyDescent="0.35">
      <c r="F97" s="16"/>
    </row>
    <row r="101" spans="6:9" x14ac:dyDescent="0.35">
      <c r="G101" s="25" t="s">
        <v>217</v>
      </c>
      <c r="H101" s="25" t="s">
        <v>218</v>
      </c>
      <c r="I101" s="26" t="s">
        <v>113</v>
      </c>
    </row>
    <row r="102" spans="6:9" x14ac:dyDescent="0.35">
      <c r="G102" s="2">
        <v>142.9924</v>
      </c>
      <c r="H102" s="50">
        <v>165</v>
      </c>
      <c r="I102" s="65">
        <v>-15.390748039755955</v>
      </c>
    </row>
    <row r="103" spans="6:9" x14ac:dyDescent="0.35">
      <c r="G103" s="66">
        <v>382.5</v>
      </c>
      <c r="H103" s="50">
        <v>370</v>
      </c>
      <c r="I103" s="65">
        <v>3.2679738562091507</v>
      </c>
    </row>
    <row r="104" spans="6:9" x14ac:dyDescent="0.35">
      <c r="G104" s="2">
        <v>142.9924</v>
      </c>
      <c r="H104" s="1">
        <v>179</v>
      </c>
      <c r="I104" s="65">
        <v>-25.181478176462523</v>
      </c>
    </row>
    <row r="105" spans="6:9" x14ac:dyDescent="0.35">
      <c r="G105" s="2">
        <v>142.9924</v>
      </c>
      <c r="H105" s="1">
        <v>181</v>
      </c>
      <c r="I105" s="65">
        <v>-26.580153910277748</v>
      </c>
    </row>
    <row r="106" spans="6:9" x14ac:dyDescent="0.35">
      <c r="G106" s="65">
        <v>142.9924</v>
      </c>
      <c r="H106" s="1">
        <v>165</v>
      </c>
      <c r="I106" s="65">
        <v>-15.390748039755955</v>
      </c>
    </row>
    <row r="107" spans="6:9" x14ac:dyDescent="0.35">
      <c r="G107" s="65">
        <v>142.9924</v>
      </c>
      <c r="H107" s="1">
        <v>175</v>
      </c>
      <c r="I107" s="65">
        <v>-22.384126708832074</v>
      </c>
    </row>
    <row r="108" spans="6:9" x14ac:dyDescent="0.35">
      <c r="G108" s="65">
        <f>1.66*86.14</f>
        <v>142.9924</v>
      </c>
      <c r="H108" s="1">
        <f>1.41*86.14</f>
        <v>121.45739999999999</v>
      </c>
      <c r="I108" s="65">
        <v>15.060240963855428</v>
      </c>
    </row>
    <row r="109" spans="6:9" x14ac:dyDescent="0.35">
      <c r="G109" s="65">
        <f>1.66*86.14</f>
        <v>142.9924</v>
      </c>
      <c r="H109" s="1">
        <f>1.47*86.14</f>
        <v>126.6258</v>
      </c>
      <c r="I109" s="65">
        <v>11.445783132530124</v>
      </c>
    </row>
  </sheetData>
  <mergeCells count="491">
    <mergeCell ref="S76:S77"/>
    <mergeCell ref="U76:U77"/>
    <mergeCell ref="V76:V77"/>
    <mergeCell ref="W76:W77"/>
    <mergeCell ref="X76:X77"/>
    <mergeCell ref="H76:H77"/>
    <mergeCell ref="J76:J77"/>
    <mergeCell ref="L76:L77"/>
    <mergeCell ref="N76:N77"/>
    <mergeCell ref="O76:O77"/>
    <mergeCell ref="P76:P77"/>
    <mergeCell ref="C76:C77"/>
    <mergeCell ref="D76:D77"/>
    <mergeCell ref="E76:E77"/>
    <mergeCell ref="F76:F77"/>
    <mergeCell ref="G76:G77"/>
    <mergeCell ref="J74:J75"/>
    <mergeCell ref="L74:L75"/>
    <mergeCell ref="M74:M75"/>
    <mergeCell ref="N74:N75"/>
    <mergeCell ref="C74:C75"/>
    <mergeCell ref="D74:D75"/>
    <mergeCell ref="E74:E75"/>
    <mergeCell ref="F74:F75"/>
    <mergeCell ref="G74:G75"/>
    <mergeCell ref="H74:H75"/>
    <mergeCell ref="L72:L73"/>
    <mergeCell ref="M72:M73"/>
    <mergeCell ref="N72:N73"/>
    <mergeCell ref="O72:O73"/>
    <mergeCell ref="S74:S75"/>
    <mergeCell ref="U74:U75"/>
    <mergeCell ref="V74:V75"/>
    <mergeCell ref="W74:W75"/>
    <mergeCell ref="X74:X75"/>
    <mergeCell ref="O74:O75"/>
    <mergeCell ref="P74:P75"/>
    <mergeCell ref="S70:S71"/>
    <mergeCell ref="U70:U71"/>
    <mergeCell ref="V70:V71"/>
    <mergeCell ref="W70:W71"/>
    <mergeCell ref="X70:X71"/>
    <mergeCell ref="C72:C73"/>
    <mergeCell ref="D72:D73"/>
    <mergeCell ref="E72:E73"/>
    <mergeCell ref="F72:F73"/>
    <mergeCell ref="G72:G73"/>
    <mergeCell ref="J70:J71"/>
    <mergeCell ref="L70:L71"/>
    <mergeCell ref="M70:M71"/>
    <mergeCell ref="N70:N71"/>
    <mergeCell ref="O70:O71"/>
    <mergeCell ref="P70:P71"/>
    <mergeCell ref="P72:P73"/>
    <mergeCell ref="S72:S73"/>
    <mergeCell ref="U72:U73"/>
    <mergeCell ref="V72:V73"/>
    <mergeCell ref="W72:W73"/>
    <mergeCell ref="X72:X73"/>
    <mergeCell ref="H72:H73"/>
    <mergeCell ref="J72:J73"/>
    <mergeCell ref="C70:C71"/>
    <mergeCell ref="D70:D71"/>
    <mergeCell ref="E70:E71"/>
    <mergeCell ref="F70:F71"/>
    <mergeCell ref="G70:G71"/>
    <mergeCell ref="H70:H71"/>
    <mergeCell ref="J68:J69"/>
    <mergeCell ref="L68:L69"/>
    <mergeCell ref="N68:N69"/>
    <mergeCell ref="W66:W67"/>
    <mergeCell ref="X66:X67"/>
    <mergeCell ref="C68:C69"/>
    <mergeCell ref="D68:D69"/>
    <mergeCell ref="E68:E69"/>
    <mergeCell ref="F68:F69"/>
    <mergeCell ref="G68:G69"/>
    <mergeCell ref="H68:H69"/>
    <mergeCell ref="J66:J67"/>
    <mergeCell ref="L66:L67"/>
    <mergeCell ref="N66:N67"/>
    <mergeCell ref="O66:O67"/>
    <mergeCell ref="P66:P67"/>
    <mergeCell ref="S66:S67"/>
    <mergeCell ref="U68:U69"/>
    <mergeCell ref="V68:V69"/>
    <mergeCell ref="W68:W69"/>
    <mergeCell ref="X68:X69"/>
    <mergeCell ref="O68:O69"/>
    <mergeCell ref="P68:P69"/>
    <mergeCell ref="S68:S69"/>
    <mergeCell ref="C66:C67"/>
    <mergeCell ref="D66:D67"/>
    <mergeCell ref="E66:E67"/>
    <mergeCell ref="F66:F67"/>
    <mergeCell ref="G66:G67"/>
    <mergeCell ref="H66:H67"/>
    <mergeCell ref="L64:L65"/>
    <mergeCell ref="M64:M65"/>
    <mergeCell ref="N64:N65"/>
    <mergeCell ref="V62:V63"/>
    <mergeCell ref="U66:U67"/>
    <mergeCell ref="V66:V67"/>
    <mergeCell ref="W62:W63"/>
    <mergeCell ref="X62:X63"/>
    <mergeCell ref="C64:C65"/>
    <mergeCell ref="D64:D65"/>
    <mergeCell ref="E64:E65"/>
    <mergeCell ref="F64:F65"/>
    <mergeCell ref="G64:G65"/>
    <mergeCell ref="H64:H65"/>
    <mergeCell ref="J64:J65"/>
    <mergeCell ref="M62:M63"/>
    <mergeCell ref="N62:N63"/>
    <mergeCell ref="O62:O63"/>
    <mergeCell ref="P62:P63"/>
    <mergeCell ref="S62:S63"/>
    <mergeCell ref="U62:U63"/>
    <mergeCell ref="U64:U65"/>
    <mergeCell ref="V64:V65"/>
    <mergeCell ref="W64:W65"/>
    <mergeCell ref="X64:X65"/>
    <mergeCell ref="O64:O65"/>
    <mergeCell ref="P64:P65"/>
    <mergeCell ref="S64:S65"/>
    <mergeCell ref="G60:L60"/>
    <mergeCell ref="N60:S60"/>
    <mergeCell ref="C62:C63"/>
    <mergeCell ref="D62:D63"/>
    <mergeCell ref="E62:E63"/>
    <mergeCell ref="F62:F63"/>
    <mergeCell ref="G62:G63"/>
    <mergeCell ref="H62:H63"/>
    <mergeCell ref="J62:J63"/>
    <mergeCell ref="L62:L63"/>
    <mergeCell ref="W49:W51"/>
    <mergeCell ref="X49:X51"/>
    <mergeCell ref="Y49:Y51"/>
    <mergeCell ref="H49:H51"/>
    <mergeCell ref="J49:J51"/>
    <mergeCell ref="L49:L51"/>
    <mergeCell ref="N49:N51"/>
    <mergeCell ref="O49:O51"/>
    <mergeCell ref="P49:P51"/>
    <mergeCell ref="B49:B51"/>
    <mergeCell ref="C49:C51"/>
    <mergeCell ref="D49:D51"/>
    <mergeCell ref="E49:E51"/>
    <mergeCell ref="F49:F51"/>
    <mergeCell ref="G49:G51"/>
    <mergeCell ref="S46:S48"/>
    <mergeCell ref="U46:U48"/>
    <mergeCell ref="V46:V48"/>
    <mergeCell ref="B46:B48"/>
    <mergeCell ref="C46:C48"/>
    <mergeCell ref="D46:D48"/>
    <mergeCell ref="E46:E48"/>
    <mergeCell ref="F46:F48"/>
    <mergeCell ref="G46:G48"/>
    <mergeCell ref="S49:S51"/>
    <mergeCell ref="U49:U51"/>
    <mergeCell ref="V49:V51"/>
    <mergeCell ref="O44:O45"/>
    <mergeCell ref="P44:P45"/>
    <mergeCell ref="W46:W48"/>
    <mergeCell ref="X46:X48"/>
    <mergeCell ref="Y46:Y48"/>
    <mergeCell ref="H46:H48"/>
    <mergeCell ref="J46:J48"/>
    <mergeCell ref="L46:L48"/>
    <mergeCell ref="N46:N48"/>
    <mergeCell ref="O46:O48"/>
    <mergeCell ref="P46:P48"/>
    <mergeCell ref="X42:X43"/>
    <mergeCell ref="Y42:Y43"/>
    <mergeCell ref="B44:B45"/>
    <mergeCell ref="C44:C45"/>
    <mergeCell ref="D44:D45"/>
    <mergeCell ref="E44:E45"/>
    <mergeCell ref="F44:F45"/>
    <mergeCell ref="G44:G45"/>
    <mergeCell ref="M42:M43"/>
    <mergeCell ref="N42:N43"/>
    <mergeCell ref="O42:O43"/>
    <mergeCell ref="P42:P43"/>
    <mergeCell ref="S42:S43"/>
    <mergeCell ref="U42:U43"/>
    <mergeCell ref="S44:S45"/>
    <mergeCell ref="U44:U45"/>
    <mergeCell ref="V44:V45"/>
    <mergeCell ref="W44:W45"/>
    <mergeCell ref="X44:X45"/>
    <mergeCell ref="Y44:Y45"/>
    <mergeCell ref="H44:H45"/>
    <mergeCell ref="J44:J45"/>
    <mergeCell ref="L44:L45"/>
    <mergeCell ref="N44:N45"/>
    <mergeCell ref="Y40:Y41"/>
    <mergeCell ref="B42:B43"/>
    <mergeCell ref="C42:C43"/>
    <mergeCell ref="D42:D43"/>
    <mergeCell ref="E42:E43"/>
    <mergeCell ref="F42:F43"/>
    <mergeCell ref="G42:G43"/>
    <mergeCell ref="H42:H43"/>
    <mergeCell ref="J42:J43"/>
    <mergeCell ref="L42:L43"/>
    <mergeCell ref="P40:P41"/>
    <mergeCell ref="S40:S41"/>
    <mergeCell ref="U40:U41"/>
    <mergeCell ref="V40:V41"/>
    <mergeCell ref="W40:W41"/>
    <mergeCell ref="X40:X41"/>
    <mergeCell ref="H40:H41"/>
    <mergeCell ref="J40:J41"/>
    <mergeCell ref="L40:L41"/>
    <mergeCell ref="M40:M41"/>
    <mergeCell ref="N40:N41"/>
    <mergeCell ref="O40:O41"/>
    <mergeCell ref="V42:V43"/>
    <mergeCell ref="W42:W43"/>
    <mergeCell ref="B40:B41"/>
    <mergeCell ref="C40:C41"/>
    <mergeCell ref="D40:D41"/>
    <mergeCell ref="E40:E41"/>
    <mergeCell ref="F40:F41"/>
    <mergeCell ref="G40:G41"/>
    <mergeCell ref="M38:M39"/>
    <mergeCell ref="N38:N39"/>
    <mergeCell ref="O38:O39"/>
    <mergeCell ref="B38:B39"/>
    <mergeCell ref="C38:C39"/>
    <mergeCell ref="D38:D39"/>
    <mergeCell ref="E38:E39"/>
    <mergeCell ref="F38:F39"/>
    <mergeCell ref="G38:G39"/>
    <mergeCell ref="H38:H39"/>
    <mergeCell ref="J36:J37"/>
    <mergeCell ref="L36:L37"/>
    <mergeCell ref="M36:M37"/>
    <mergeCell ref="N36:N37"/>
    <mergeCell ref="O36:O37"/>
    <mergeCell ref="V38:V39"/>
    <mergeCell ref="W38:W39"/>
    <mergeCell ref="X38:X39"/>
    <mergeCell ref="Y38:Y39"/>
    <mergeCell ref="P38:P39"/>
    <mergeCell ref="S38:S39"/>
    <mergeCell ref="U38:U39"/>
    <mergeCell ref="J38:J39"/>
    <mergeCell ref="L38:L39"/>
    <mergeCell ref="V34:V35"/>
    <mergeCell ref="W34:W35"/>
    <mergeCell ref="X34:X35"/>
    <mergeCell ref="Y34:Y35"/>
    <mergeCell ref="B36:B37"/>
    <mergeCell ref="C36:C37"/>
    <mergeCell ref="D36:D37"/>
    <mergeCell ref="E36:E37"/>
    <mergeCell ref="F36:F37"/>
    <mergeCell ref="G36:G37"/>
    <mergeCell ref="M34:M35"/>
    <mergeCell ref="N34:N35"/>
    <mergeCell ref="O34:O35"/>
    <mergeCell ref="P34:P35"/>
    <mergeCell ref="S34:S35"/>
    <mergeCell ref="U34:U35"/>
    <mergeCell ref="Y36:Y37"/>
    <mergeCell ref="P36:P37"/>
    <mergeCell ref="S36:S37"/>
    <mergeCell ref="U36:U37"/>
    <mergeCell ref="V36:V37"/>
    <mergeCell ref="W36:W37"/>
    <mergeCell ref="X36:X37"/>
    <mergeCell ref="H36:H37"/>
    <mergeCell ref="Y31:Y33"/>
    <mergeCell ref="B34:B35"/>
    <mergeCell ref="C34:C35"/>
    <mergeCell ref="D34:D35"/>
    <mergeCell ref="E34:E35"/>
    <mergeCell ref="F34:F35"/>
    <mergeCell ref="G34:G35"/>
    <mergeCell ref="H34:H35"/>
    <mergeCell ref="J34:J35"/>
    <mergeCell ref="L34:L35"/>
    <mergeCell ref="P31:P33"/>
    <mergeCell ref="S31:S33"/>
    <mergeCell ref="U31:U33"/>
    <mergeCell ref="V31:V33"/>
    <mergeCell ref="W31:W33"/>
    <mergeCell ref="X31:X33"/>
    <mergeCell ref="H31:H33"/>
    <mergeCell ref="J31:J33"/>
    <mergeCell ref="L31:L33"/>
    <mergeCell ref="M31:M33"/>
    <mergeCell ref="N31:N33"/>
    <mergeCell ref="O31:O33"/>
    <mergeCell ref="B31:B33"/>
    <mergeCell ref="C31:C33"/>
    <mergeCell ref="D31:D33"/>
    <mergeCell ref="E31:E33"/>
    <mergeCell ref="F31:F33"/>
    <mergeCell ref="G31:G33"/>
    <mergeCell ref="S29:S30"/>
    <mergeCell ref="U29:U30"/>
    <mergeCell ref="V29:V30"/>
    <mergeCell ref="W29:W30"/>
    <mergeCell ref="X29:X30"/>
    <mergeCell ref="Y29:Y30"/>
    <mergeCell ref="H29:H30"/>
    <mergeCell ref="J29:J30"/>
    <mergeCell ref="L29:L30"/>
    <mergeCell ref="N29:N30"/>
    <mergeCell ref="O29:O30"/>
    <mergeCell ref="P29:P30"/>
    <mergeCell ref="B29:B30"/>
    <mergeCell ref="C29:C30"/>
    <mergeCell ref="D29:D30"/>
    <mergeCell ref="E29:E30"/>
    <mergeCell ref="F29:F30"/>
    <mergeCell ref="G29:G30"/>
    <mergeCell ref="W27:W28"/>
    <mergeCell ref="X27:X28"/>
    <mergeCell ref="Y27:Y28"/>
    <mergeCell ref="H27:H28"/>
    <mergeCell ref="J27:J28"/>
    <mergeCell ref="L27:L28"/>
    <mergeCell ref="N27:N28"/>
    <mergeCell ref="O27:O28"/>
    <mergeCell ref="P27:P28"/>
    <mergeCell ref="B27:B28"/>
    <mergeCell ref="C27:C28"/>
    <mergeCell ref="D27:D28"/>
    <mergeCell ref="E27:E28"/>
    <mergeCell ref="F27:F28"/>
    <mergeCell ref="G27:G28"/>
    <mergeCell ref="S25:S26"/>
    <mergeCell ref="U25:U26"/>
    <mergeCell ref="V25:V26"/>
    <mergeCell ref="B25:B26"/>
    <mergeCell ref="C25:C26"/>
    <mergeCell ref="D25:D26"/>
    <mergeCell ref="E25:E26"/>
    <mergeCell ref="F25:F26"/>
    <mergeCell ref="G25:G26"/>
    <mergeCell ref="S27:S28"/>
    <mergeCell ref="U27:U28"/>
    <mergeCell ref="V27:V28"/>
    <mergeCell ref="W25:W26"/>
    <mergeCell ref="X25:X26"/>
    <mergeCell ref="Y25:Y26"/>
    <mergeCell ref="H25:H26"/>
    <mergeCell ref="J25:J26"/>
    <mergeCell ref="L25:L26"/>
    <mergeCell ref="N25:N26"/>
    <mergeCell ref="O25:O26"/>
    <mergeCell ref="P25:P26"/>
    <mergeCell ref="X22:X24"/>
    <mergeCell ref="Y22:Y24"/>
    <mergeCell ref="H22:H24"/>
    <mergeCell ref="J22:J24"/>
    <mergeCell ref="L22:L24"/>
    <mergeCell ref="N22:N24"/>
    <mergeCell ref="O22:O24"/>
    <mergeCell ref="P22:P24"/>
    <mergeCell ref="P19:P21"/>
    <mergeCell ref="B22:B24"/>
    <mergeCell ref="C22:C24"/>
    <mergeCell ref="D22:D24"/>
    <mergeCell ref="E22:E24"/>
    <mergeCell ref="F22:F24"/>
    <mergeCell ref="G22:G24"/>
    <mergeCell ref="S19:S21"/>
    <mergeCell ref="U19:U21"/>
    <mergeCell ref="W16:W18"/>
    <mergeCell ref="V19:V21"/>
    <mergeCell ref="S22:S24"/>
    <mergeCell ref="U22:U24"/>
    <mergeCell ref="V22:V24"/>
    <mergeCell ref="W22:W24"/>
    <mergeCell ref="X16:X18"/>
    <mergeCell ref="Y16:Y18"/>
    <mergeCell ref="B19:B21"/>
    <mergeCell ref="C19:C21"/>
    <mergeCell ref="D19:D21"/>
    <mergeCell ref="E19:E21"/>
    <mergeCell ref="F19:F21"/>
    <mergeCell ref="G19:G21"/>
    <mergeCell ref="H19:H21"/>
    <mergeCell ref="N16:N18"/>
    <mergeCell ref="O16:O18"/>
    <mergeCell ref="P16:P18"/>
    <mergeCell ref="S16:S18"/>
    <mergeCell ref="U16:U18"/>
    <mergeCell ref="V16:V18"/>
    <mergeCell ref="W19:W21"/>
    <mergeCell ref="X19:X21"/>
    <mergeCell ref="Y19:Y21"/>
    <mergeCell ref="J19:J21"/>
    <mergeCell ref="L19:L21"/>
    <mergeCell ref="M19:M20"/>
    <mergeCell ref="N19:N21"/>
    <mergeCell ref="O19:O21"/>
    <mergeCell ref="Y14:Y15"/>
    <mergeCell ref="B16:B18"/>
    <mergeCell ref="C16:C18"/>
    <mergeCell ref="E16:E18"/>
    <mergeCell ref="F16:F18"/>
    <mergeCell ref="G16:G18"/>
    <mergeCell ref="H16:H18"/>
    <mergeCell ref="J16:J18"/>
    <mergeCell ref="L16:L18"/>
    <mergeCell ref="M16:M18"/>
    <mergeCell ref="P14:P15"/>
    <mergeCell ref="S14:S15"/>
    <mergeCell ref="U14:U15"/>
    <mergeCell ref="V14:V15"/>
    <mergeCell ref="W14:W15"/>
    <mergeCell ref="X14:X15"/>
    <mergeCell ref="H14:H15"/>
    <mergeCell ref="J14:J15"/>
    <mergeCell ref="L14:L15"/>
    <mergeCell ref="M14:M15"/>
    <mergeCell ref="N14:N15"/>
    <mergeCell ref="O14:O15"/>
    <mergeCell ref="B14:B15"/>
    <mergeCell ref="C14:C15"/>
    <mergeCell ref="D14:D15"/>
    <mergeCell ref="E14:E15"/>
    <mergeCell ref="F14:F15"/>
    <mergeCell ref="G14:G15"/>
    <mergeCell ref="S12:S13"/>
    <mergeCell ref="U12:U13"/>
    <mergeCell ref="V12:V13"/>
    <mergeCell ref="W12:W13"/>
    <mergeCell ref="X12:X13"/>
    <mergeCell ref="Y12:Y13"/>
    <mergeCell ref="J12:J13"/>
    <mergeCell ref="L12:L13"/>
    <mergeCell ref="M12:M13"/>
    <mergeCell ref="N12:N13"/>
    <mergeCell ref="O12:O13"/>
    <mergeCell ref="P12:P13"/>
    <mergeCell ref="X8:X9"/>
    <mergeCell ref="Y8:Y9"/>
    <mergeCell ref="V10:V11"/>
    <mergeCell ref="S8:S9"/>
    <mergeCell ref="U8:U9"/>
    <mergeCell ref="V8:V9"/>
    <mergeCell ref="W8:W9"/>
    <mergeCell ref="B12:B13"/>
    <mergeCell ref="C12:C13"/>
    <mergeCell ref="D12:D13"/>
    <mergeCell ref="E12:E13"/>
    <mergeCell ref="F12:F13"/>
    <mergeCell ref="G12:G13"/>
    <mergeCell ref="H12:H13"/>
    <mergeCell ref="O8:O9"/>
    <mergeCell ref="P8:P9"/>
    <mergeCell ref="G8:G9"/>
    <mergeCell ref="H8:H9"/>
    <mergeCell ref="J8:J9"/>
    <mergeCell ref="L8:L9"/>
    <mergeCell ref="M8:M9"/>
    <mergeCell ref="N8:N9"/>
    <mergeCell ref="U6:U7"/>
    <mergeCell ref="V6:V7"/>
    <mergeCell ref="W6:W7"/>
    <mergeCell ref="X6:X7"/>
    <mergeCell ref="Y6:Y7"/>
    <mergeCell ref="B8:B9"/>
    <mergeCell ref="C8:C9"/>
    <mergeCell ref="D8:D9"/>
    <mergeCell ref="E8:E9"/>
    <mergeCell ref="F8:F9"/>
    <mergeCell ref="L6:L7"/>
    <mergeCell ref="M6:M7"/>
    <mergeCell ref="N6:N7"/>
    <mergeCell ref="O6:O7"/>
    <mergeCell ref="P6:P7"/>
    <mergeCell ref="S6:S7"/>
    <mergeCell ref="G4:L4"/>
    <mergeCell ref="N4:S4"/>
    <mergeCell ref="B6:B7"/>
    <mergeCell ref="C6:C7"/>
    <mergeCell ref="D6:D7"/>
    <mergeCell ref="E6:E7"/>
    <mergeCell ref="F6:F7"/>
    <mergeCell ref="G6:G7"/>
    <mergeCell ref="H6:H7"/>
    <mergeCell ref="J6:J7"/>
  </mergeCells>
  <conditionalFormatting sqref="G3:G4">
    <cfRule type="cellIs" dxfId="46" priority="41" operator="equal">
      <formula>"Yet to start"</formula>
    </cfRule>
    <cfRule type="cellIs" dxfId="45" priority="29" operator="equal">
      <formula>"Yet to start"</formula>
    </cfRule>
    <cfRule type="cellIs" dxfId="44" priority="28" operator="equal">
      <formula>"Failed"</formula>
    </cfRule>
    <cfRule type="cellIs" dxfId="43" priority="27" operator="equal">
      <formula>"On-hold"</formula>
    </cfRule>
    <cfRule type="cellIs" dxfId="42" priority="26" operator="equal">
      <formula>"Hold"</formula>
    </cfRule>
    <cfRule type="cellIs" dxfId="41" priority="30" operator="equal">
      <formula>"In process"</formula>
    </cfRule>
    <cfRule type="cellIs" dxfId="40" priority="31" operator="equal">
      <formula>"Done"</formula>
    </cfRule>
    <cfRule type="cellIs" dxfId="39" priority="32" operator="equal">
      <formula>"Not Done"</formula>
    </cfRule>
    <cfRule type="cellIs" dxfId="38" priority="33" operator="equal">
      <formula>"Fail"</formula>
    </cfRule>
    <cfRule type="cellIs" dxfId="37" priority="34" operator="equal">
      <formula>"Pass"</formula>
    </cfRule>
    <cfRule type="cellIs" dxfId="36" priority="35" operator="equal">
      <formula>"On-hold"</formula>
    </cfRule>
    <cfRule type="cellIs" dxfId="35" priority="36" operator="equal">
      <formula>"Drop"</formula>
    </cfRule>
    <cfRule type="cellIs" dxfId="34" priority="37" operator="equal">
      <formula>"Failed"</formula>
    </cfRule>
    <cfRule type="cellIs" dxfId="33" priority="38" operator="equal">
      <formula>"In process"</formula>
    </cfRule>
    <cfRule type="cellIs" dxfId="32" priority="39" operator="equal">
      <formula>"Done"</formula>
    </cfRule>
    <cfRule type="cellIs" dxfId="31" priority="40" operator="equal">
      <formula>"Yet to start"</formula>
    </cfRule>
  </conditionalFormatting>
  <conditionalFormatting sqref="G60">
    <cfRule type="cellIs" dxfId="30" priority="17" operator="equal">
      <formula>"Failed"</formula>
    </cfRule>
    <cfRule type="cellIs" dxfId="29" priority="18" operator="equal">
      <formula>"In process"</formula>
    </cfRule>
    <cfRule type="cellIs" dxfId="28" priority="19" operator="equal">
      <formula>"Done"</formula>
    </cfRule>
    <cfRule type="cellIs" dxfId="27" priority="20" operator="equal">
      <formula>"Yet to start"</formula>
    </cfRule>
    <cfRule type="cellIs" dxfId="26" priority="21" operator="equal">
      <formula>"Yet to start"</formula>
    </cfRule>
    <cfRule type="cellIs" dxfId="25" priority="6" operator="equal">
      <formula>"Hold"</formula>
    </cfRule>
    <cfRule type="cellIs" dxfId="24" priority="7" operator="equal">
      <formula>"On-hold"</formula>
    </cfRule>
    <cfRule type="cellIs" dxfId="23" priority="8" operator="equal">
      <formula>"Failed"</formula>
    </cfRule>
    <cfRule type="cellIs" dxfId="22" priority="9" operator="equal">
      <formula>"Yet to start"</formula>
    </cfRule>
    <cfRule type="cellIs" dxfId="21" priority="10" operator="equal">
      <formula>"In process"</formula>
    </cfRule>
    <cfRule type="cellIs" dxfId="20" priority="11" operator="equal">
      <formula>"Done"</formula>
    </cfRule>
    <cfRule type="cellIs" dxfId="19" priority="12" operator="equal">
      <formula>"Not Done"</formula>
    </cfRule>
    <cfRule type="cellIs" dxfId="18" priority="13" operator="equal">
      <formula>"Fail"</formula>
    </cfRule>
    <cfRule type="cellIs" dxfId="17" priority="14" operator="equal">
      <formula>"Pass"</formula>
    </cfRule>
    <cfRule type="cellIs" dxfId="16" priority="15" operator="equal">
      <formula>"On-hold"</formula>
    </cfRule>
    <cfRule type="cellIs" dxfId="15" priority="16" operator="equal">
      <formula>"Drop"</formula>
    </cfRule>
  </conditionalFormatting>
  <conditionalFormatting sqref="K88:K95">
    <cfRule type="cellIs" dxfId="14" priority="2" operator="lessThan">
      <formula>0</formula>
    </cfRule>
    <cfRule type="cellIs" dxfId="13" priority="1" operator="greaterThan">
      <formula>0</formula>
    </cfRule>
  </conditionalFormatting>
  <conditionalFormatting sqref="V22:W60 V1:W4 V6:W19 V62:W1048576">
    <cfRule type="cellIs" dxfId="12" priority="22" operator="greaterThan">
      <formula>1</formula>
    </cfRule>
  </conditionalFormatting>
  <conditionalFormatting sqref="W1:W4 W6:W12 W14 W16 W19 W29 W31 W34 W36 W38 W40 W42 W44 W46 W49 W52:W59 W62 W64 W70 W72 W74 W76 W78:W1048576">
    <cfRule type="cellIs" dxfId="11" priority="25" operator="greaterThan">
      <formula>0</formula>
    </cfRule>
  </conditionalFormatting>
  <conditionalFormatting sqref="W1:W4 W6:W12 W14 W16 W19 W62 W64 W70 W72 W74 W76 W78:W1048576 W29 W31 W34 W36 W38 W40 W42 W44 W46 W49">
    <cfRule type="cellIs" dxfId="10" priority="24" operator="lessThan">
      <formula>0</formula>
    </cfRule>
  </conditionalFormatting>
  <conditionalFormatting sqref="W1:W4 W6:W19 W62:W1048576">
    <cfRule type="cellIs" dxfId="9" priority="23" operator="lessThan">
      <formula>0</formula>
    </cfRule>
  </conditionalFormatting>
  <conditionalFormatting sqref="W22:W60">
    <cfRule type="cellIs" dxfId="8" priority="3" operator="lessThan">
      <formula>0</formula>
    </cfRule>
  </conditionalFormatting>
  <conditionalFormatting sqref="W52:W60">
    <cfRule type="cellIs" dxfId="7" priority="4" operator="lessThan">
      <formula>0</formula>
    </cfRule>
  </conditionalFormatting>
  <conditionalFormatting sqref="W60">
    <cfRule type="cellIs" dxfId="6" priority="5" operator="greaterThan">
      <formula>0</formula>
    </cfRule>
  </conditionalFormatting>
  <hyperlinks>
    <hyperlink ref="Y6:Y7" r:id="rId1" display="Inex" xr:uid="{9164F2B1-63E3-4BC7-BAD5-E97FB22047BF}"/>
    <hyperlink ref="Y8:Y9" r:id="rId2" display="Rhine" xr:uid="{B1666F0B-913F-4233-A174-A934B4536FAA}"/>
    <hyperlink ref="Y10" r:id="rId3" xr:uid="{ADA8EEAB-8551-4C79-82F1-B941B18E1508}"/>
    <hyperlink ref="Y14:Y15" r:id="rId4" display="HIUV" xr:uid="{D956D7E2-16E4-47D9-9A3D-F187A0676533}"/>
    <hyperlink ref="Y16:Y18" r:id="rId5" display="Fasto" xr:uid="{E2551326-8A42-4D20-8327-5FC4B60FB4B9}"/>
    <hyperlink ref="Y12:Y13" r:id="rId6" display="Sunbez" xr:uid="{EA0DAAA0-6191-496D-AD5E-A8A4B4EBEBD9}"/>
  </hyperlinks>
  <pageMargins left="0.7" right="0.7" top="0.75" bottom="0.75" header="0.3" footer="0.3"/>
  <ignoredErrors>
    <ignoredError sqref="K7:K8 T43 K43:K44 K67 K69 K71 K75 T75 W74 K26 R7:R8 W42" formula="1"/>
  </ignoredErrors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07007-E935-468B-89BE-726E0D561739}">
  <dimension ref="A3:N27"/>
  <sheetViews>
    <sheetView tabSelected="1" zoomScale="70" zoomScaleNormal="70" workbookViewId="0">
      <pane ySplit="5" topLeftCell="A13" activePane="bottomLeft" state="frozen"/>
      <selection pane="bottomLeft" activeCell="H17" sqref="H17"/>
    </sheetView>
  </sheetViews>
  <sheetFormatPr defaultColWidth="8.7265625" defaultRowHeight="15.5" x14ac:dyDescent="0.35"/>
  <cols>
    <col min="1" max="1" width="8.81640625" style="73" customWidth="1"/>
    <col min="2" max="2" width="16" style="73" customWidth="1"/>
    <col min="3" max="3" width="10.26953125" style="73" customWidth="1"/>
    <col min="4" max="4" width="14" style="73" customWidth="1"/>
    <col min="5" max="5" width="9.453125" style="73" customWidth="1"/>
    <col min="6" max="6" width="16.453125" style="73" customWidth="1"/>
    <col min="7" max="7" width="13.26953125" style="73" customWidth="1"/>
    <col min="8" max="8" width="49.1796875" style="73" bestFit="1" customWidth="1"/>
    <col min="9" max="9" width="15.54296875" style="73" bestFit="1" customWidth="1"/>
    <col min="10" max="10" width="15.54296875" style="73" customWidth="1"/>
    <col min="11" max="11" width="19.453125" style="73" hidden="1" customWidth="1"/>
    <col min="12" max="12" width="15.26953125" style="73" bestFit="1" customWidth="1"/>
    <col min="13" max="13" width="19.1796875" style="73" customWidth="1"/>
    <col min="14" max="14" width="40.1796875" style="73" customWidth="1"/>
    <col min="15" max="16384" width="8.7265625" style="73"/>
  </cols>
  <sheetData>
    <row r="3" spans="1:14" x14ac:dyDescent="0.35">
      <c r="A3" s="148" t="s">
        <v>309</v>
      </c>
      <c r="B3" s="148"/>
      <c r="C3" s="148"/>
    </row>
    <row r="5" spans="1:14" ht="19.5" customHeight="1" x14ac:dyDescent="0.35">
      <c r="A5" s="12" t="s">
        <v>0</v>
      </c>
      <c r="B5" s="12" t="s">
        <v>1</v>
      </c>
      <c r="C5" s="12" t="s">
        <v>2</v>
      </c>
      <c r="D5" s="12" t="s">
        <v>220</v>
      </c>
      <c r="E5" s="12" t="s">
        <v>221</v>
      </c>
      <c r="F5" s="13" t="s">
        <v>3</v>
      </c>
      <c r="G5" s="12" t="s">
        <v>4</v>
      </c>
      <c r="H5" s="13" t="s">
        <v>5</v>
      </c>
      <c r="I5" s="12" t="s">
        <v>6</v>
      </c>
      <c r="J5" s="12" t="s">
        <v>7</v>
      </c>
      <c r="K5" s="13" t="s">
        <v>8</v>
      </c>
      <c r="L5" s="12" t="s">
        <v>9</v>
      </c>
      <c r="M5" s="14" t="s">
        <v>10</v>
      </c>
      <c r="N5" s="13" t="s">
        <v>222</v>
      </c>
    </row>
    <row r="6" spans="1:14" ht="37.5" customHeight="1" x14ac:dyDescent="0.35">
      <c r="A6" s="67">
        <v>1</v>
      </c>
      <c r="B6" s="67" t="s">
        <v>32</v>
      </c>
      <c r="C6" s="67" t="s">
        <v>25</v>
      </c>
      <c r="D6" s="68" t="s">
        <v>223</v>
      </c>
      <c r="E6" s="67" t="s">
        <v>224</v>
      </c>
      <c r="F6" s="68" t="s">
        <v>33</v>
      </c>
      <c r="G6" s="67">
        <v>6000004238</v>
      </c>
      <c r="H6" s="68" t="s">
        <v>34</v>
      </c>
      <c r="I6" s="71">
        <v>10000</v>
      </c>
      <c r="J6" s="67" t="s">
        <v>35</v>
      </c>
      <c r="K6" s="68"/>
      <c r="L6" s="67" t="s">
        <v>37</v>
      </c>
      <c r="M6" s="72">
        <v>101000070141</v>
      </c>
      <c r="N6" s="68" t="s">
        <v>225</v>
      </c>
    </row>
    <row r="7" spans="1:14" ht="50.5" customHeight="1" x14ac:dyDescent="0.35">
      <c r="A7" s="67">
        <v>2</v>
      </c>
      <c r="B7" s="67" t="s">
        <v>32</v>
      </c>
      <c r="C7" s="67" t="s">
        <v>25</v>
      </c>
      <c r="D7" s="67" t="s">
        <v>226</v>
      </c>
      <c r="E7" s="67" t="s">
        <v>224</v>
      </c>
      <c r="F7" s="68" t="s">
        <v>39</v>
      </c>
      <c r="G7" s="67">
        <v>6000004298</v>
      </c>
      <c r="H7" s="68" t="s">
        <v>40</v>
      </c>
      <c r="I7" s="71">
        <v>10000</v>
      </c>
      <c r="J7" s="68" t="s">
        <v>41</v>
      </c>
      <c r="K7" s="68"/>
      <c r="L7" s="68" t="s">
        <v>43</v>
      </c>
      <c r="M7" s="69" t="s">
        <v>44</v>
      </c>
      <c r="N7" s="68" t="s">
        <v>225</v>
      </c>
    </row>
    <row r="8" spans="1:14" ht="40.5" customHeight="1" x14ac:dyDescent="0.35">
      <c r="A8" s="67">
        <v>3</v>
      </c>
      <c r="B8" s="67" t="s">
        <v>56</v>
      </c>
      <c r="C8" s="67" t="s">
        <v>57</v>
      </c>
      <c r="D8" s="67"/>
      <c r="E8" s="67" t="s">
        <v>227</v>
      </c>
      <c r="F8" s="76" t="s">
        <v>58</v>
      </c>
      <c r="G8" s="67">
        <v>6000004204</v>
      </c>
      <c r="H8" s="68" t="s">
        <v>59</v>
      </c>
      <c r="I8" s="71">
        <v>40000</v>
      </c>
      <c r="J8" s="67" t="s">
        <v>60</v>
      </c>
      <c r="K8" s="68"/>
      <c r="L8" s="67" t="s">
        <v>62</v>
      </c>
      <c r="M8" s="69" t="s">
        <v>63</v>
      </c>
      <c r="N8" s="68" t="s">
        <v>225</v>
      </c>
    </row>
    <row r="9" spans="1:14" ht="37.5" customHeight="1" x14ac:dyDescent="0.35">
      <c r="A9" s="67">
        <v>4</v>
      </c>
      <c r="B9" s="67" t="s">
        <v>12</v>
      </c>
      <c r="C9" s="67" t="s">
        <v>13</v>
      </c>
      <c r="D9" s="67"/>
      <c r="E9" s="67" t="s">
        <v>228</v>
      </c>
      <c r="F9" s="76" t="s">
        <v>64</v>
      </c>
      <c r="G9" s="67">
        <v>6000004454</v>
      </c>
      <c r="H9" s="68" t="s">
        <v>65</v>
      </c>
      <c r="I9" s="70" t="s">
        <v>66</v>
      </c>
      <c r="J9" s="67" t="s">
        <v>67</v>
      </c>
      <c r="K9" s="68"/>
      <c r="L9" s="67" t="s">
        <v>68</v>
      </c>
      <c r="M9" s="69" t="s">
        <v>19</v>
      </c>
      <c r="N9" s="68" t="s">
        <v>229</v>
      </c>
    </row>
    <row r="10" spans="1:14" s="86" customFormat="1" ht="47.15" customHeight="1" x14ac:dyDescent="0.35">
      <c r="A10" s="83">
        <v>5</v>
      </c>
      <c r="B10" s="83" t="s">
        <v>70</v>
      </c>
      <c r="C10" s="83" t="s">
        <v>25</v>
      </c>
      <c r="D10" s="84" t="s">
        <v>230</v>
      </c>
      <c r="E10" s="83" t="s">
        <v>224</v>
      </c>
      <c r="F10" s="84" t="s">
        <v>71</v>
      </c>
      <c r="G10" s="83">
        <v>6000004503</v>
      </c>
      <c r="H10" s="84" t="s">
        <v>72</v>
      </c>
      <c r="I10" s="83" t="s">
        <v>73</v>
      </c>
      <c r="J10" s="83" t="s">
        <v>74</v>
      </c>
      <c r="K10" s="68"/>
      <c r="L10" s="83" t="s">
        <v>75</v>
      </c>
      <c r="M10" s="85" t="s">
        <v>76</v>
      </c>
      <c r="N10" s="84" t="s">
        <v>225</v>
      </c>
    </row>
    <row r="11" spans="1:14" s="86" customFormat="1" ht="39.65" customHeight="1" x14ac:dyDescent="0.35">
      <c r="A11" s="83">
        <v>6</v>
      </c>
      <c r="B11" s="83" t="s">
        <v>12</v>
      </c>
      <c r="C11" s="83" t="s">
        <v>57</v>
      </c>
      <c r="D11" s="84" t="s">
        <v>231</v>
      </c>
      <c r="E11" s="83" t="s">
        <v>224</v>
      </c>
      <c r="F11" s="84" t="s">
        <v>85</v>
      </c>
      <c r="G11" s="83">
        <v>6000004672</v>
      </c>
      <c r="H11" s="84" t="s">
        <v>15</v>
      </c>
      <c r="I11" s="83" t="s">
        <v>86</v>
      </c>
      <c r="J11" s="83" t="s">
        <v>232</v>
      </c>
      <c r="K11" s="68"/>
      <c r="L11" s="83" t="s">
        <v>233</v>
      </c>
      <c r="M11" s="85" t="s">
        <v>234</v>
      </c>
      <c r="N11" s="84" t="s">
        <v>225</v>
      </c>
    </row>
    <row r="12" spans="1:14" ht="42" customHeight="1" x14ac:dyDescent="0.35">
      <c r="A12" s="67">
        <v>7</v>
      </c>
      <c r="B12" s="67" t="s">
        <v>12</v>
      </c>
      <c r="C12" s="67" t="s">
        <v>57</v>
      </c>
      <c r="D12" s="67" t="s">
        <v>223</v>
      </c>
      <c r="E12" s="67" t="s">
        <v>224</v>
      </c>
      <c r="F12" s="68" t="s">
        <v>85</v>
      </c>
      <c r="G12" s="67">
        <v>6000004712</v>
      </c>
      <c r="H12" s="68" t="s">
        <v>235</v>
      </c>
      <c r="I12" s="67" t="s">
        <v>236</v>
      </c>
      <c r="J12" s="67" t="s">
        <v>237</v>
      </c>
      <c r="K12" s="68"/>
      <c r="L12" s="67" t="s">
        <v>238</v>
      </c>
      <c r="M12" s="69" t="s">
        <v>234</v>
      </c>
      <c r="N12" s="68" t="s">
        <v>239</v>
      </c>
    </row>
    <row r="13" spans="1:14" ht="38.5" customHeight="1" x14ac:dyDescent="0.35">
      <c r="A13" s="67">
        <v>8</v>
      </c>
      <c r="B13" s="67" t="s">
        <v>77</v>
      </c>
      <c r="C13" s="67" t="s">
        <v>25</v>
      </c>
      <c r="D13" s="67"/>
      <c r="E13" s="67" t="s">
        <v>240</v>
      </c>
      <c r="F13" s="76" t="s">
        <v>78</v>
      </c>
      <c r="G13" s="67">
        <v>6000004647</v>
      </c>
      <c r="H13" s="68" t="s">
        <v>79</v>
      </c>
      <c r="I13" s="67" t="s">
        <v>80</v>
      </c>
      <c r="J13" s="67" t="s">
        <v>81</v>
      </c>
      <c r="K13" s="68"/>
      <c r="L13" s="67"/>
      <c r="M13" s="72">
        <v>600252017239</v>
      </c>
      <c r="N13" s="68" t="s">
        <v>225</v>
      </c>
    </row>
    <row r="14" spans="1:14" ht="39.65" customHeight="1" x14ac:dyDescent="0.35">
      <c r="A14" s="67">
        <v>9</v>
      </c>
      <c r="B14" s="67" t="s">
        <v>77</v>
      </c>
      <c r="C14" s="67" t="s">
        <v>25</v>
      </c>
      <c r="D14" s="67"/>
      <c r="E14" s="67" t="s">
        <v>241</v>
      </c>
      <c r="F14" s="76" t="s">
        <v>83</v>
      </c>
      <c r="G14" s="67">
        <v>6000004656</v>
      </c>
      <c r="H14" s="68" t="s">
        <v>79</v>
      </c>
      <c r="I14" s="71">
        <v>60000</v>
      </c>
      <c r="J14" s="67" t="s">
        <v>242</v>
      </c>
      <c r="K14" s="68"/>
      <c r="L14" s="67"/>
      <c r="M14" s="72">
        <v>600252017239</v>
      </c>
      <c r="N14" s="68" t="s">
        <v>225</v>
      </c>
    </row>
    <row r="15" spans="1:14" ht="34.5" customHeight="1" x14ac:dyDescent="0.35">
      <c r="A15" s="67">
        <v>10</v>
      </c>
      <c r="B15" s="67" t="s">
        <v>171</v>
      </c>
      <c r="C15" s="67" t="s">
        <v>57</v>
      </c>
      <c r="D15" s="67" t="s">
        <v>223</v>
      </c>
      <c r="E15" s="67" t="s">
        <v>224</v>
      </c>
      <c r="F15" s="68" t="s">
        <v>243</v>
      </c>
      <c r="G15" s="67">
        <v>6000004545</v>
      </c>
      <c r="H15" s="68" t="s">
        <v>244</v>
      </c>
      <c r="I15" s="71">
        <v>400</v>
      </c>
      <c r="J15" s="67" t="s">
        <v>245</v>
      </c>
      <c r="K15" s="68"/>
      <c r="L15" s="67" t="s">
        <v>246</v>
      </c>
      <c r="M15" s="72">
        <v>100300100181</v>
      </c>
      <c r="N15" s="68" t="s">
        <v>225</v>
      </c>
    </row>
    <row r="16" spans="1:14" ht="31" x14ac:dyDescent="0.35">
      <c r="A16" s="67">
        <v>11</v>
      </c>
      <c r="B16" s="67" t="s">
        <v>12</v>
      </c>
      <c r="C16" s="67" t="s">
        <v>25</v>
      </c>
      <c r="D16" s="67" t="s">
        <v>223</v>
      </c>
      <c r="E16" s="67" t="s">
        <v>224</v>
      </c>
      <c r="F16" s="68" t="s">
        <v>247</v>
      </c>
      <c r="G16" s="67">
        <v>6000004515</v>
      </c>
      <c r="H16" s="68" t="s">
        <v>248</v>
      </c>
      <c r="I16" s="71" t="s">
        <v>249</v>
      </c>
      <c r="J16" s="67" t="s">
        <v>81</v>
      </c>
      <c r="K16" s="68"/>
      <c r="L16" s="67" t="s">
        <v>250</v>
      </c>
      <c r="M16" s="69" t="s">
        <v>251</v>
      </c>
      <c r="N16" s="68" t="s">
        <v>252</v>
      </c>
    </row>
    <row r="17" spans="1:14" ht="31" x14ac:dyDescent="0.35">
      <c r="A17" s="67">
        <v>12</v>
      </c>
      <c r="B17" s="67" t="s">
        <v>56</v>
      </c>
      <c r="C17" s="67" t="s">
        <v>25</v>
      </c>
      <c r="D17" s="67" t="s">
        <v>223</v>
      </c>
      <c r="E17" s="67" t="s">
        <v>224</v>
      </c>
      <c r="F17" s="68" t="s">
        <v>253</v>
      </c>
      <c r="G17" s="67">
        <v>6000004636</v>
      </c>
      <c r="H17" s="68" t="s">
        <v>59</v>
      </c>
      <c r="I17" s="67">
        <v>100</v>
      </c>
      <c r="J17" s="67" t="s">
        <v>81</v>
      </c>
      <c r="K17" s="68"/>
      <c r="L17" s="67" t="s">
        <v>254</v>
      </c>
      <c r="M17" s="69" t="s">
        <v>63</v>
      </c>
      <c r="N17" s="68" t="s">
        <v>252</v>
      </c>
    </row>
    <row r="18" spans="1:14" ht="31" x14ac:dyDescent="0.35">
      <c r="A18" s="67">
        <v>13</v>
      </c>
      <c r="B18" s="67" t="s">
        <v>56</v>
      </c>
      <c r="C18" s="67" t="s">
        <v>25</v>
      </c>
      <c r="D18" s="67" t="s">
        <v>223</v>
      </c>
      <c r="E18" s="67" t="s">
        <v>224</v>
      </c>
      <c r="F18" s="68" t="s">
        <v>253</v>
      </c>
      <c r="G18" s="67">
        <v>6000004552</v>
      </c>
      <c r="H18" s="68" t="s">
        <v>255</v>
      </c>
      <c r="I18" s="67">
        <v>400</v>
      </c>
      <c r="J18" s="67" t="s">
        <v>256</v>
      </c>
      <c r="K18" s="67"/>
      <c r="L18" s="67" t="s">
        <v>257</v>
      </c>
      <c r="M18" s="68" t="s">
        <v>258</v>
      </c>
      <c r="N18" s="68" t="s">
        <v>252</v>
      </c>
    </row>
    <row r="19" spans="1:14" ht="46.5" x14ac:dyDescent="0.35">
      <c r="A19" s="67">
        <v>14</v>
      </c>
      <c r="B19" s="67" t="s">
        <v>32</v>
      </c>
      <c r="C19" s="67" t="s">
        <v>25</v>
      </c>
      <c r="D19" s="67" t="s">
        <v>223</v>
      </c>
      <c r="E19" s="67" t="s">
        <v>224</v>
      </c>
      <c r="F19" s="3" t="s">
        <v>259</v>
      </c>
      <c r="G19" s="68">
        <v>6000004512</v>
      </c>
      <c r="H19" s="68" t="s">
        <v>260</v>
      </c>
      <c r="I19" s="67">
        <v>200</v>
      </c>
      <c r="J19" s="67" t="s">
        <v>261</v>
      </c>
      <c r="K19" s="67"/>
      <c r="L19" s="67" t="s">
        <v>262</v>
      </c>
      <c r="M19" s="68" t="s">
        <v>263</v>
      </c>
      <c r="N19" s="68" t="s">
        <v>252</v>
      </c>
    </row>
    <row r="20" spans="1:14" ht="46.5" x14ac:dyDescent="0.35">
      <c r="A20" s="67">
        <v>15</v>
      </c>
      <c r="B20" s="67" t="s">
        <v>32</v>
      </c>
      <c r="C20" s="67" t="s">
        <v>25</v>
      </c>
      <c r="D20" s="67" t="s">
        <v>223</v>
      </c>
      <c r="E20" s="67" t="s">
        <v>224</v>
      </c>
      <c r="F20" s="3" t="s">
        <v>264</v>
      </c>
      <c r="G20" s="68">
        <v>6000004513</v>
      </c>
      <c r="H20" s="68" t="s">
        <v>260</v>
      </c>
      <c r="I20" s="67">
        <v>200</v>
      </c>
      <c r="J20" s="67" t="s">
        <v>265</v>
      </c>
      <c r="K20" s="67"/>
      <c r="L20" s="67" t="s">
        <v>266</v>
      </c>
      <c r="M20" s="68" t="s">
        <v>263</v>
      </c>
      <c r="N20" s="68" t="s">
        <v>252</v>
      </c>
    </row>
    <row r="21" spans="1:14" ht="31" x14ac:dyDescent="0.35">
      <c r="A21" s="67">
        <v>16</v>
      </c>
      <c r="B21" s="67" t="s">
        <v>46</v>
      </c>
      <c r="C21" s="67" t="s">
        <v>25</v>
      </c>
      <c r="D21" s="67" t="s">
        <v>223</v>
      </c>
      <c r="E21" s="67" t="s">
        <v>224</v>
      </c>
      <c r="F21" s="3" t="s">
        <v>267</v>
      </c>
      <c r="G21" s="75">
        <v>6000004517</v>
      </c>
      <c r="H21" s="68" t="s">
        <v>268</v>
      </c>
      <c r="I21" s="67" t="s">
        <v>269</v>
      </c>
      <c r="J21" s="67" t="s">
        <v>270</v>
      </c>
      <c r="K21" s="67"/>
      <c r="L21" s="67" t="s">
        <v>271</v>
      </c>
      <c r="M21" s="68" t="s">
        <v>272</v>
      </c>
      <c r="N21" s="68" t="s">
        <v>252</v>
      </c>
    </row>
    <row r="22" spans="1:14" ht="31" x14ac:dyDescent="0.35">
      <c r="A22" s="67">
        <v>17</v>
      </c>
      <c r="B22" s="67" t="s">
        <v>46</v>
      </c>
      <c r="C22" s="67" t="s">
        <v>25</v>
      </c>
      <c r="D22" s="67" t="s">
        <v>223</v>
      </c>
      <c r="E22" s="67" t="s">
        <v>224</v>
      </c>
      <c r="F22" s="3" t="s">
        <v>267</v>
      </c>
      <c r="G22" s="75">
        <v>6000004518</v>
      </c>
      <c r="H22" s="68" t="s">
        <v>268</v>
      </c>
      <c r="I22" s="67" t="s">
        <v>273</v>
      </c>
      <c r="J22" s="67" t="s">
        <v>274</v>
      </c>
      <c r="K22" s="67"/>
      <c r="L22" s="67" t="s">
        <v>271</v>
      </c>
      <c r="M22" s="68" t="s">
        <v>272</v>
      </c>
      <c r="N22" s="68" t="s">
        <v>252</v>
      </c>
    </row>
    <row r="23" spans="1:14" ht="31" x14ac:dyDescent="0.35">
      <c r="A23" s="88">
        <v>18</v>
      </c>
      <c r="B23" s="88" t="s">
        <v>12</v>
      </c>
      <c r="C23" s="88" t="s">
        <v>275</v>
      </c>
      <c r="D23" s="89" t="s">
        <v>276</v>
      </c>
      <c r="E23" s="88" t="s">
        <v>224</v>
      </c>
      <c r="F23" s="87" t="s">
        <v>277</v>
      </c>
      <c r="G23" s="90">
        <v>6000004659</v>
      </c>
      <c r="H23" s="89" t="s">
        <v>278</v>
      </c>
      <c r="I23" s="88" t="s">
        <v>279</v>
      </c>
      <c r="J23" s="88" t="s">
        <v>280</v>
      </c>
      <c r="K23" s="67"/>
      <c r="L23" s="88" t="s">
        <v>281</v>
      </c>
      <c r="M23" s="89" t="s">
        <v>234</v>
      </c>
      <c r="N23" s="68" t="s">
        <v>225</v>
      </c>
    </row>
    <row r="24" spans="1:14" s="86" customFormat="1" ht="31" x14ac:dyDescent="0.35">
      <c r="A24" s="83">
        <v>19</v>
      </c>
      <c r="B24" s="83" t="s">
        <v>46</v>
      </c>
      <c r="C24" s="83" t="s">
        <v>25</v>
      </c>
      <c r="D24" s="83" t="s">
        <v>223</v>
      </c>
      <c r="E24" s="83" t="s">
        <v>224</v>
      </c>
      <c r="F24" s="83" t="s">
        <v>48</v>
      </c>
      <c r="G24" s="83" t="s">
        <v>282</v>
      </c>
      <c r="H24" s="84" t="s">
        <v>268</v>
      </c>
      <c r="I24" s="83" t="s">
        <v>283</v>
      </c>
      <c r="J24" s="83" t="s">
        <v>284</v>
      </c>
      <c r="K24" s="67"/>
      <c r="L24" s="83" t="s">
        <v>285</v>
      </c>
      <c r="M24" s="85" t="s">
        <v>286</v>
      </c>
      <c r="N24" s="84" t="s">
        <v>225</v>
      </c>
    </row>
    <row r="25" spans="1:14" s="86" customFormat="1" x14ac:dyDescent="0.35">
      <c r="A25" s="83">
        <v>20</v>
      </c>
      <c r="B25" s="83" t="s">
        <v>46</v>
      </c>
      <c r="C25" s="83" t="s">
        <v>25</v>
      </c>
      <c r="D25" s="83" t="s">
        <v>223</v>
      </c>
      <c r="E25" s="83" t="s">
        <v>224</v>
      </c>
      <c r="F25" s="83" t="s">
        <v>48</v>
      </c>
      <c r="G25" s="83" t="s">
        <v>282</v>
      </c>
      <c r="H25" s="84" t="s">
        <v>287</v>
      </c>
      <c r="I25" s="83">
        <v>16</v>
      </c>
      <c r="J25" s="83" t="s">
        <v>284</v>
      </c>
      <c r="K25" s="67"/>
      <c r="L25" s="83" t="s">
        <v>285</v>
      </c>
      <c r="M25" s="85">
        <v>100200010045</v>
      </c>
      <c r="N25" s="84" t="s">
        <v>225</v>
      </c>
    </row>
    <row r="26" spans="1:14" s="86" customFormat="1" ht="31" x14ac:dyDescent="0.35">
      <c r="A26" s="83">
        <v>21</v>
      </c>
      <c r="B26" s="83" t="s">
        <v>46</v>
      </c>
      <c r="C26" s="83" t="s">
        <v>47</v>
      </c>
      <c r="D26" s="83" t="s">
        <v>223</v>
      </c>
      <c r="E26" s="83" t="s">
        <v>224</v>
      </c>
      <c r="F26" s="83" t="s">
        <v>288</v>
      </c>
      <c r="G26" s="83" t="s">
        <v>282</v>
      </c>
      <c r="H26" s="84" t="s">
        <v>268</v>
      </c>
      <c r="I26" s="83" t="s">
        <v>283</v>
      </c>
      <c r="J26" s="83" t="s">
        <v>284</v>
      </c>
      <c r="K26" s="67"/>
      <c r="L26" s="83" t="s">
        <v>289</v>
      </c>
      <c r="M26" s="85" t="s">
        <v>286</v>
      </c>
      <c r="N26" s="84" t="s">
        <v>225</v>
      </c>
    </row>
    <row r="27" spans="1:14" s="86" customFormat="1" x14ac:dyDescent="0.35">
      <c r="A27" s="83">
        <v>22</v>
      </c>
      <c r="B27" s="83" t="s">
        <v>46</v>
      </c>
      <c r="C27" s="83" t="s">
        <v>47</v>
      </c>
      <c r="D27" s="83" t="s">
        <v>223</v>
      </c>
      <c r="E27" s="83" t="s">
        <v>224</v>
      </c>
      <c r="F27" s="83" t="s">
        <v>288</v>
      </c>
      <c r="G27" s="83" t="s">
        <v>282</v>
      </c>
      <c r="H27" s="84" t="s">
        <v>287</v>
      </c>
      <c r="I27" s="83">
        <v>16</v>
      </c>
      <c r="J27" s="83" t="s">
        <v>284</v>
      </c>
      <c r="K27" s="67"/>
      <c r="L27" s="83" t="s">
        <v>289</v>
      </c>
      <c r="M27" s="85">
        <v>100200010045</v>
      </c>
      <c r="N27" s="84" t="s">
        <v>225</v>
      </c>
    </row>
  </sheetData>
  <autoFilter ref="A5:N27" xr:uid="{9B907007-E935-468B-89BE-726E0D561739}"/>
  <mergeCells count="1">
    <mergeCell ref="A3:C3"/>
  </mergeCells>
  <phoneticPr fontId="3" type="noConversion"/>
  <conditionalFormatting sqref="N1:N1048576">
    <cfRule type="containsText" dxfId="5" priority="1" operator="containsText" text="Waiting for PVEL witnessing at Fab 2">
      <formula>NOT(ISERROR(SEARCH("Waiting for PVEL witnessing at Fab 2",N1)))</formula>
    </cfRule>
    <cfRule type="containsText" dxfId="4" priority="2" operator="containsText" text="Waiting for line availability">
      <formula>NOT(ISERROR(SEARCH("Waiting for line availability",N1)))</formula>
    </cfRule>
    <cfRule type="containsText" dxfId="3" priority="3" operator="containsText" text="Line trial completed">
      <formula>NOT(ISERROR(SEARCH("Line trial completed",N1)))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1DDC-51AC-4013-ABFF-5137E7AB4AEA}">
  <dimension ref="A1:M13"/>
  <sheetViews>
    <sheetView topLeftCell="A3" workbookViewId="0">
      <selection activeCell="B9" sqref="B9"/>
    </sheetView>
  </sheetViews>
  <sheetFormatPr defaultRowHeight="14.5" x14ac:dyDescent="0.35"/>
  <cols>
    <col min="1" max="1" width="7.26953125" style="77" customWidth="1"/>
    <col min="2" max="2" width="12.453125" style="77" customWidth="1"/>
    <col min="3" max="3" width="9.1796875" style="77"/>
    <col min="4" max="4" width="12.453125" style="77" customWidth="1"/>
    <col min="5" max="5" width="9.1796875" style="77"/>
    <col min="6" max="6" width="18.7265625" style="77" customWidth="1"/>
    <col min="7" max="7" width="17.26953125" style="77" customWidth="1"/>
    <col min="8" max="8" width="39.26953125" style="77" customWidth="1"/>
    <col min="9" max="9" width="12.26953125" style="77" customWidth="1"/>
    <col min="10" max="10" width="10.1796875" style="77" customWidth="1"/>
    <col min="11" max="11" width="12.26953125" style="77" customWidth="1"/>
    <col min="12" max="12" width="18.453125" style="77" customWidth="1"/>
    <col min="13" max="13" width="23.81640625" customWidth="1"/>
  </cols>
  <sheetData>
    <row r="1" spans="1:13" ht="15.5" x14ac:dyDescent="0.35">
      <c r="A1" s="74"/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</row>
    <row r="2" spans="1:13" ht="15.5" x14ac:dyDescent="0.35">
      <c r="A2" s="149" t="s">
        <v>219</v>
      </c>
      <c r="B2" s="149"/>
      <c r="C2" s="149"/>
      <c r="D2" s="74"/>
      <c r="E2" s="74"/>
      <c r="F2" s="74"/>
      <c r="G2" s="74"/>
      <c r="H2" s="74"/>
      <c r="I2" s="74"/>
      <c r="J2" s="74"/>
      <c r="K2" s="74"/>
      <c r="L2" s="74"/>
    </row>
    <row r="3" spans="1:13" ht="15.5" x14ac:dyDescent="0.35">
      <c r="A3" s="74"/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</row>
    <row r="4" spans="1:13" ht="15.5" x14ac:dyDescent="0.35">
      <c r="A4" s="78" t="s">
        <v>0</v>
      </c>
      <c r="B4" s="78" t="s">
        <v>1</v>
      </c>
      <c r="C4" s="78" t="s">
        <v>2</v>
      </c>
      <c r="D4" s="78" t="s">
        <v>220</v>
      </c>
      <c r="E4" s="78" t="s">
        <v>221</v>
      </c>
      <c r="F4" s="79" t="s">
        <v>3</v>
      </c>
      <c r="G4" s="78" t="s">
        <v>4</v>
      </c>
      <c r="H4" s="79" t="s">
        <v>5</v>
      </c>
      <c r="I4" s="78" t="s">
        <v>6</v>
      </c>
      <c r="J4" s="78" t="s">
        <v>7</v>
      </c>
      <c r="K4" s="78" t="s">
        <v>9</v>
      </c>
      <c r="L4" s="80" t="s">
        <v>10</v>
      </c>
      <c r="M4" s="13" t="s">
        <v>222</v>
      </c>
    </row>
    <row r="5" spans="1:13" ht="39" x14ac:dyDescent="0.35">
      <c r="A5" s="81">
        <v>1</v>
      </c>
      <c r="B5" s="81" t="s">
        <v>290</v>
      </c>
      <c r="C5" s="81" t="s">
        <v>95</v>
      </c>
      <c r="D5" s="81" t="s">
        <v>223</v>
      </c>
      <c r="E5" s="81" t="s">
        <v>291</v>
      </c>
      <c r="F5" s="81" t="s">
        <v>292</v>
      </c>
      <c r="G5" s="81">
        <v>4200013936</v>
      </c>
      <c r="H5" s="81" t="s">
        <v>293</v>
      </c>
      <c r="I5" s="81" t="s">
        <v>294</v>
      </c>
      <c r="J5" s="81" t="s">
        <v>295</v>
      </c>
      <c r="K5" s="81" t="s">
        <v>296</v>
      </c>
      <c r="L5" s="82" t="s">
        <v>297</v>
      </c>
      <c r="M5" s="68" t="s">
        <v>225</v>
      </c>
    </row>
    <row r="6" spans="1:13" ht="39" x14ac:dyDescent="0.35">
      <c r="A6" s="81">
        <v>2</v>
      </c>
      <c r="B6" s="81" t="s">
        <v>32</v>
      </c>
      <c r="C6" s="81" t="s">
        <v>95</v>
      </c>
      <c r="D6" s="81" t="s">
        <v>223</v>
      </c>
      <c r="E6" s="81" t="s">
        <v>291</v>
      </c>
      <c r="F6" s="81" t="s">
        <v>298</v>
      </c>
      <c r="G6" s="81">
        <v>4200013997</v>
      </c>
      <c r="H6" s="81" t="s">
        <v>299</v>
      </c>
      <c r="I6" s="81">
        <v>50</v>
      </c>
      <c r="J6" s="81" t="s">
        <v>300</v>
      </c>
      <c r="K6" s="81" t="s">
        <v>301</v>
      </c>
      <c r="L6" s="82" t="s">
        <v>302</v>
      </c>
      <c r="M6" s="68" t="s">
        <v>225</v>
      </c>
    </row>
    <row r="7" spans="1:13" ht="31" x14ac:dyDescent="0.35">
      <c r="A7" s="81">
        <v>3</v>
      </c>
      <c r="B7" s="81" t="s">
        <v>142</v>
      </c>
      <c r="C7" s="81" t="s">
        <v>95</v>
      </c>
      <c r="D7" s="81" t="s">
        <v>223</v>
      </c>
      <c r="E7" s="81" t="s">
        <v>291</v>
      </c>
      <c r="F7" s="81" t="s">
        <v>303</v>
      </c>
      <c r="G7" s="81">
        <v>4200013700</v>
      </c>
      <c r="H7" s="81" t="s">
        <v>304</v>
      </c>
      <c r="I7" s="81" t="s">
        <v>305</v>
      </c>
      <c r="J7" s="81" t="s">
        <v>306</v>
      </c>
      <c r="K7" s="81" t="s">
        <v>307</v>
      </c>
      <c r="L7" s="82" t="s">
        <v>308</v>
      </c>
      <c r="M7" s="68" t="s">
        <v>225</v>
      </c>
    </row>
    <row r="8" spans="1:13" x14ac:dyDescent="0.35">
      <c r="A8" s="81">
        <v>4</v>
      </c>
      <c r="B8" s="81" t="s">
        <v>310</v>
      </c>
      <c r="C8" s="81"/>
      <c r="D8" s="81"/>
      <c r="E8" s="81"/>
      <c r="F8" s="81" t="s">
        <v>311</v>
      </c>
      <c r="G8" s="81"/>
      <c r="H8" s="81"/>
      <c r="I8" s="81"/>
      <c r="J8" s="81"/>
      <c r="K8" s="81"/>
      <c r="L8" s="81"/>
      <c r="M8" s="150"/>
    </row>
    <row r="9" spans="1:13" x14ac:dyDescent="0.35">
      <c r="A9" s="81">
        <v>5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</row>
    <row r="10" spans="1:13" x14ac:dyDescent="0.35">
      <c r="A10" s="81">
        <v>6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</row>
    <row r="11" spans="1:13" x14ac:dyDescent="0.35">
      <c r="A11" s="81">
        <v>7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</row>
    <row r="12" spans="1:13" x14ac:dyDescent="0.35">
      <c r="A12" s="81">
        <v>8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</row>
    <row r="13" spans="1:13" x14ac:dyDescent="0.35">
      <c r="A13" s="81">
        <v>9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</row>
  </sheetData>
  <mergeCells count="1">
    <mergeCell ref="A2:C2"/>
  </mergeCells>
  <conditionalFormatting sqref="M4:M7">
    <cfRule type="containsText" dxfId="2" priority="1" operator="containsText" text="Waiting for PVEL witnessing at Fab 2">
      <formula>NOT(ISERROR(SEARCH("Waiting for PVEL witnessing at Fab 2",M4)))</formula>
    </cfRule>
    <cfRule type="containsText" dxfId="1" priority="2" operator="containsText" text="Waiting for line availability">
      <formula>NOT(ISERROR(SEARCH("Waiting for line availability",M4)))</formula>
    </cfRule>
    <cfRule type="containsText" dxfId="0" priority="3" operator="containsText" text="Line trial completed">
      <formula>NOT(ISERROR(SEARCH("Line trial completed",M4)))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Line Trial Fab 2</vt:lpstr>
      <vt:lpstr>Line Trial Fab 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Bidisha Saha</dc:creator>
  <cp:keywords/>
  <dc:description/>
  <cp:lastModifiedBy>Shakya Acharya</cp:lastModifiedBy>
  <cp:revision/>
  <dcterms:created xsi:type="dcterms:W3CDTF">2025-10-14T04:42:01Z</dcterms:created>
  <dcterms:modified xsi:type="dcterms:W3CDTF">2026-01-28T07:39:32Z</dcterms:modified>
  <cp:category/>
  <cp:contentStatus/>
</cp:coreProperties>
</file>