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546" documentId="120_S{88B04BEA-6EB8-51DF-A901-8C914F39E891}" xr6:coauthVersionLast="47" xr6:coauthVersionMax="47" xr10:uidLastSave="{916C0EBC-4884-4CE9-BCA2-268768255B18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5" i="1" l="1"/>
  <c r="K436" i="1"/>
  <c r="K437" i="1"/>
  <c r="K431" i="1"/>
  <c r="K432" i="1"/>
  <c r="K433" i="1"/>
  <c r="K434" i="1"/>
  <c r="K400" i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<sst xmlns="http://schemas.openxmlformats.org/spreadsheetml/2006/main" count="3222" uniqueCount="542">
  <si>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</si>
  <si>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</si>
  <si>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</si>
  <si>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</si>
  <si>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</si>
  <si>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</si>
  <si>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</si>
  <si>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</si>
  <si>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</si>
  <si>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</si>
  <si>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</si>
  <si>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</si>
  <si>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</si>
  <si>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</si>
  <si>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</si>
  <si>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</si>
  <si>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</si>
  <si>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</si>
  <si>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</si>
  <si>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</si>
  <si>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</si>
  <si>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</si>
  <si>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</si>
  <si>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</si>
  <si>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</si>
  <si>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</si>
  <si>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</si>
  <si>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</si>
  <si>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</si>
  <si>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</si>
  <si>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</si>
  <si>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</si>
  <si>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</si>
  <si>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</si>
  <si>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</si>
  <si>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</si>
  <si>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</si>
  <si>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</si>
  <si>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</si>
  <si>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</si>
  <si>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</si>
  <si>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</si>
  <si>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</si>
  <si>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</si>
  <si>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</si>
  <si>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</si>
  <si>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</si>
  <si>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</si>
  <si>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</si>
  <si>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</si>
  <si>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</si>
  <si>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</si>
  <si>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</si>
  <si>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</si>
  <si>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</si>
  <si>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</si>
  <si>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</si>
  <si>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</si>
  <si>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</si>
  <si>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</si>
  <si>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</si>
  <si>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</si>
  <si>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</si>
  <si>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</si>
  <si>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</si>
  <si>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</si>
  <si>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</si>
  <si>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</si>
  <si>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</si>
  <si>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</si>
  <si>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</si>
  <si>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</si>
  <si>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</si>
  <si>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</si>
  <si>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</si>
  <si>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</si>
  <si>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</si>
  <si>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</si>
  <si>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</si>
  <si>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</si>
  <si>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</si>
  <si>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</si>
  <si>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</si>
  <si>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</si>
  <si>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</si>
  <si>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</si>
  <si>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</si>
  <si>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</si>
  <si>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</si>
  <si>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</si>
  <si>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</si>
  <si>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</si>
  <si>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</si>
  <si>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</si>
  <si>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</si>
  <si>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</si>
  <si>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</si>
  <si>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</si>
  <si>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</si>
  <si>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</si>
  <si>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</si>
  <si>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</si>
  <si>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</si>
  <si>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</si>
  <si>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</si>
  <si>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</si>
  <si>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</si>
  <si>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</si>
  <si>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</si>
  <si>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</si>
  <si>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</si>
  <si>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</si>
  <si>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</si>
  <si>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</si>
  <si>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</si>
  <si>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</si>
  <si>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</si>
  <si>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</si>
  <si>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</si>
  <si>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</si>
  <si>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</si>
  <si>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</si>
  <si>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</si>
  <si>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</si>
  <si>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</si>
  <si>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</si>
  <si>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</si>
  <si>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</si>
  <si>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</si>
  <si>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</si>
  <si>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</si>
  <si>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</si>
  <si>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</si>
  <si>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</si>
  <si>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</si>
  <si>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</si>
  <si>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</si>
  <si>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</si>
  <si>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</si>
  <si>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</si>
  <si>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</si>
  <si>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</si>
  <si>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</si>
  <si>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</si>
  <si>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</si>
  <si>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</si>
  <si>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</si>
  <si>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</si>
  <si>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</si>
  <si>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</si>
  <si>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</si>
  <si>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</si>
  <si>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</si>
  <si>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</si>
  <si>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</si>
  <si>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</si>
  <si>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</si>
  <si>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</si>
  <si>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</si>
  <si>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</si>
  <si>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</si>
  <si>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</si>
  <si>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</si>
  <si>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</si>
  <si>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</si>
  <si>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</si>
  <si>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</si>
  <si>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</si>
  <si>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</si>
  <si>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</si>
  <si>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</si>
  <si>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</si>
  <si>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</si>
  <si>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</si>
  <si>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</si>
  <si>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</si>
  <si>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</si>
  <si>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</si>
  <si>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</si>
  <si>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</si>
  <si>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</si>
  <si>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</si>
  <si>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</si>
  <si>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</si>
  <si>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</si>
  <si>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</si>
  <si>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</si>
  <si>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</si>
  <si>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</si>
  <si>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</si>
  <si>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</si>
  <si>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</si>
  <si>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</si>
  <si>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</si>
  <si>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</si>
  <si>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</si>
  <si>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</si>
  <si>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</si>
  <si>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</si>
  <si>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</si>
  <si>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</si>
  <si>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</si>
  <si>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</si>
  <si>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</si>
  <si>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</si>
  <si>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</si>
  <si>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</si>
  <si>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</si>
  <si>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</si>
  <si>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</si>
  <si>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</si>
  <si>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</si>
  <si>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</si>
  <si>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</si>
  <si>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</si>
  <si>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</si>
  <si>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</si>
  <si>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</si>
  <si>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</si>
  <si>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</si>
  <si>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</si>
  <si>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</si>
  <si>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</si>
  <si>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</si>
  <si>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</si>
  <si>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</si>
  <si>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</si>
  <si>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</si>
  <si>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</si>
  <si>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</si>
  <si>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</si>
  <si>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</si>
  <si>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</si>
  <si>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</si>
  <si>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</si>
  <si>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</si>
  <si>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</si>
  <si>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</si>
  <si>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</si>
  <si>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</si>
  <si>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</si>
  <si>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</si>
  <si>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</si>
  <si>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</si>
  <si>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</si>
  <si>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</si>
  <si>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</si>
  <si>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</si>
  <si>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</si>
  <si>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</si>
  <si>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</si>
  <si>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</si>
  <si>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</si>
  <si>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</si>
  <si>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</si>
  <si>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</si>
  <si>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</si>
  <si>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</si>
  <si>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</si>
  <si>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</si>
  <si>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</si>
  <si>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</si>
  <si>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</si>
  <si>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</si>
  <si>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</si>
  <si>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</si>
  <si>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</si>
  <si>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</si>
  <si>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</si>
  <si>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</si>
  <si>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</si>
  <si>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</si>
  <si>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</si>
  <si>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</si>
  <si>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</si>
  <si>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</si>
  <si>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</si>
  <si>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</si>
  <si>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</si>
  <si>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</si>
  <si>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</si>
  <si>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</si>
  <si>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</si>
  <si>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</si>
  <si>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</si>
  <si>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</si>
  <si>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</si>
  <si>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</si>
  <si>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</si>
  <si>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</si>
  <si>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</si>
  <si>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</si>
  <si>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</si>
  <si>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</si>
  <si>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</si>
  <si>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</si>
  <si>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</si>
  <si>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</si>
  <si>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</si>
  <si>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</si>
  <si>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</si>
  <si>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</si>
  <si>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</si>
  <si>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</si>
  <si>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</si>
  <si>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</si>
  <si>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</si>
  <si>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</si>
  <si>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</si>
  <si>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</si>
  <si>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</si>
  <si>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</si>
  <si>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</si>
  <si>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</si>
  <si>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</si>
  <si>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</si>
  <si>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</si>
  <si>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</si>
  <si>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</si>
  <si>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</si>
  <si>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</si>
  <si>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</si>
  <si>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</si>
  <si>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</si>
  <si>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</si>
  <si>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</si>
  <si>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</si>
  <si>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</si>
  <si>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</si>
  <si>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</si>
  <si>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</si>
  <si>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</si>
  <si>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</si>
  <si>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</si>
  <si>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</si>
  <si>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</si>
  <si>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</si>
  <si>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</si>
  <si>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</si>
  <si>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</si>
  <si>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</si>
  <si>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</si>
  <si>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</si>
  <si>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</si>
  <si>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</si>
  <si>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</si>
  <si>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</si>
  <si>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</si>
  <si>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</si>
  <si>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</si>
  <si>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</si>
  <si>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</si>
  <si>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</si>
  <si>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</si>
  <si>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</si>
  <si>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</si>
  <si>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</si>
  <si>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</si>
  <si>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</si>
  <si>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</si>
  <si>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</si>
  <si>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</si>
  <si>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</si>
  <si>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</si>
  <si>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</si>
  <si>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</si>
  <si>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</si>
  <si>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</si>
  <si>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</si>
  <si>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</si>
  <si>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</si>
  <si>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</si>
  <si>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</si>
  <si>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</si>
  <si>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</si>
  <si>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</si>
  <si>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</si>
  <si>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</si>
  <si>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</si>
  <si>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</si>
  <si>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</si>
  <si>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</si>
  <si>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</si>
  <si>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</si>
  <si>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</si>
  <si>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</si>
  <si>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</si>
  <si>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</si>
  <si>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</si>
  <si>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</si>
  <si>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</si>
  <si>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</si>
  <si>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</si>
  <si>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</si>
  <si>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</si>
  <si>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</si>
  <si>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</si>
  <si>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</si>
  <si>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</si>
  <si>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</si>
  <si>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</si>
  <si>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</si>
  <si>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</si>
  <si>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</si>
  <si>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</si>
  <si>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</si>
  <si>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</si>
  <si>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</si>
  <si>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</si>
  <si>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</si>
  <si>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</si>
  <si>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</si>
  <si>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</si>
  <si>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</si>
  <si>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</si>
  <si>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</si>
  <si>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</si>
  <si>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</si>
  <si>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</si>
  <si>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</si>
  <si>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</si>
  <si>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</si>
  <si>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</si>
  <si>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</si>
  <si>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</si>
  <si>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</si>
  <si>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</si>
  <si>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</si>
  <si>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</si>
  <si>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</si>
  <si>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</si>
  <si>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</si>
  <si>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</si>
  <si>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</si>
  <si>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</si>
  <si>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</si>
  <si>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</si>
  <si>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</si>
  <si>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</si>
  <si>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</si>
  <si>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</si>
  <si>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</si>
  <si>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</si>
  <si>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</si>
  <si>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</si>
  <si>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</si>
  <si>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</si>
  <si>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</si>
  <si>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</si>
  <si>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</si>
  <si>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</si>
  <si>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</si>
  <si>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</si>
  <si>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</si>
  <si>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</si>
  <si>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</si>
  <si>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</si>
  <si>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</si>
  <si>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</si>
  <si>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</si>
  <si>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</si>
  <si>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</si>
  <si>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</si>
  <si>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</si>
  <si>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</si>
  <si>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</si>
  <si>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</si>
  <si>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</si>
  <si>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</si>
  <si>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</si>
  <si>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</si>
  <si>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</si>
  <si>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</si>
  <si>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</si>
  <si>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</si>
  <si>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</si>
  <si>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</si>
  <si>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</si>
  <si>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</si>
  <si>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</si>
  <si>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VSL202526714</t>
  </si>
  <si>
    <t>Jinko 8.54Wp TOPCon 16BB cell evaluation, Date of receipt: 26-02-2026</t>
  </si>
  <si>
    <t>VSL202526717</t>
  </si>
  <si>
    <t>PT High Sil 8.5 Wp TOPCon 16BB cell evaluation, Date of receipt: 20-02-2026</t>
  </si>
  <si>
    <t>VSL202526720</t>
  </si>
  <si>
    <t>First Energy 8.5 Wp TOPCOn 16BB cell evaluation, Date of receipt: 20-02-2026</t>
  </si>
  <si>
    <t>VSL202526726</t>
  </si>
  <si>
    <t>Venus Energy 8.5 Wp TOPCOn 16BB cell evaluation, Date of receipt: 20-02-2026</t>
  </si>
  <si>
    <t>VSL202526603</t>
  </si>
  <si>
    <t>FAB 3 Paradea 144C // Jupiter DCR // OK EL</t>
  </si>
  <si>
    <t>VSL202526598</t>
  </si>
  <si>
    <t>FAB 3 Paradea 144C // Jupiter DCR // Defective EL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</si>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</sst>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23" fillId="0" borderId="1" xfId="0" applyFont="1" applyBorder="1"/>
    <xf numFmtId="0" fontId="0" fillId="0" borderId="26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22" xfId="0" applyNumberFormat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59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8"/>
  <sheetViews>
    <sheetView tabSelected="1" zoomScaleNormal="100" workbookViewId="0">
      <pane xSplit="16" ySplit="1" topLeftCell="QA425" activePane="bottomRight" state="frozen"/>
      <selection pane="bottomRight" activeCell="QA432" sqref="QA432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46.285156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 hidden="1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 hidden="1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 hidden="1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 hidden="1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 hidden="1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 hidden="1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 hidden="1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 hidden="1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 hidden="1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 hidden="1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 hidden="1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 hidden="1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 hidden="1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 hidden="1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 hidden="1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 hidden="1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 hidden="1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 hidden="1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 hidden="1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 hidden="1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 hidden="1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 hidden="1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 hidden="1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 hidden="1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 hidden="1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 hidden="1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 hidden="1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43" ht="14.45" hidden="1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43" ht="14.45" hidden="1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43" ht="14.45" hidden="1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43" ht="14.45" hidden="1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43" ht="14.45" hidden="1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43" ht="14.45" hidden="1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43" ht="14.45" hidden="1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43" ht="14.45" hidden="1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43" ht="14.45" hidden="1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43" ht="14.45" hidden="1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43" ht="14.45" hidden="1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43" ht="14.45" hidden="1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43" ht="14.45" hidden="1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43" ht="14.45" hidden="1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43" ht="14.45" hidden="1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43" ht="14.45" hidden="1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  <c r="QA368" s="54"/>
    </row>
    <row r="369" spans="1:4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53">
        <v>24</v>
      </c>
      <c r="QA369" s="110" t="s">
        <v>177</v>
      </c>
      <c r="QB369" s="68">
        <v>18</v>
      </c>
      <c r="QC369" s="3">
        <v>24</v>
      </c>
    </row>
    <row r="370" spans="1:445" ht="14.45" hidden="1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  <c r="QA370" s="69"/>
    </row>
    <row r="371" spans="1:445" ht="14.45" hidden="1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5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5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5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5" ht="14.45" hidden="1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5" ht="14.45" hidden="1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  <c r="QA376" s="54"/>
    </row>
    <row r="377" spans="1:445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53">
        <v>24</v>
      </c>
      <c r="QA377" s="3" t="s">
        <v>177</v>
      </c>
      <c r="QB377" s="68">
        <v>18</v>
      </c>
      <c r="QC377" s="3">
        <v>24</v>
      </c>
    </row>
    <row r="378" spans="1:445" ht="14.45" hidden="1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  <c r="QA378" s="69"/>
    </row>
    <row r="379" spans="1:445" ht="14.45" hidden="1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5" ht="14.45" hidden="1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5" ht="14.45" hidden="1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5" ht="14.45" hidden="1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5" ht="14.45" hidden="1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5" ht="14.45" hidden="1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5" ht="14.45" hidden="1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  <c r="QA385" s="54"/>
    </row>
    <row r="386" spans="1:4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53" t="s">
        <v>30</v>
      </c>
      <c r="QA386" s="110" t="s">
        <v>177</v>
      </c>
      <c r="QB386" s="68">
        <v>18</v>
      </c>
      <c r="QC386" s="3">
        <v>24</v>
      </c>
    </row>
    <row r="387" spans="1:445" ht="14.45" hidden="1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  <c r="QA387" s="69"/>
    </row>
    <row r="388" spans="1:445" ht="14.45" hidden="1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5" ht="14.45" hidden="1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5" ht="14.45" hidden="1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5" ht="14.45" hidden="1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5" ht="15" hidden="1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5" ht="15" hidden="1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5" ht="15" hidden="1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  <c r="QA394" s="54"/>
    </row>
    <row r="395" spans="1:445" ht="15" hidden="1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19</v>
      </c>
      <c r="P395" s="9">
        <v>46082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53" t="s">
        <v>87</v>
      </c>
      <c r="QA395" s="110" t="s">
        <v>177</v>
      </c>
      <c r="QB395" s="68">
        <v>18</v>
      </c>
      <c r="QC395" s="3">
        <v>24</v>
      </c>
    </row>
    <row r="396" spans="1:445" ht="15" hidden="1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  <c r="QA396" s="69"/>
    </row>
    <row r="397" spans="1:445" ht="15" hidden="1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  <c r="QA397" s="54"/>
    </row>
    <row r="398" spans="1:445" ht="15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53">
        <v>5</v>
      </c>
      <c r="QA398" s="110">
        <v>5</v>
      </c>
      <c r="QB398" s="68">
        <v>5</v>
      </c>
      <c r="QC398" s="3">
        <v>5</v>
      </c>
    </row>
    <row r="399" spans="1:445" ht="15" hidden="1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  <c r="QA399" s="111"/>
    </row>
    <row r="400" spans="1:445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53">
        <v>24</v>
      </c>
      <c r="QA400" s="110" t="s">
        <v>177</v>
      </c>
      <c r="QB400" s="68">
        <v>18</v>
      </c>
      <c r="QC400" s="3">
        <v>24</v>
      </c>
    </row>
    <row r="401" spans="1:446" ht="15" hidden="1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  <c r="QA401" s="69"/>
    </row>
    <row r="402" spans="1:446" ht="15" hidden="1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6" ht="15" hidden="1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6" ht="15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G404" s="122">
        <v>46085</v>
      </c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46105</v>
      </c>
      <c r="O404" s="71" t="s">
        <v>416</v>
      </c>
      <c r="QB404" s="68">
        <v>5</v>
      </c>
      <c r="QC404" s="68">
        <v>5</v>
      </c>
      <c r="QD404" s="68">
        <v>5</v>
      </c>
    </row>
    <row r="405" spans="1:446" ht="15" hidden="1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6" ht="15" hidden="1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6" ht="15" hidden="1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  <c r="QA407" s="54"/>
    </row>
    <row r="408" spans="1:446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53">
        <v>24</v>
      </c>
      <c r="QA408" s="110" t="s">
        <v>177</v>
      </c>
      <c r="QB408" s="68">
        <v>18</v>
      </c>
      <c r="QC408" s="3">
        <v>24</v>
      </c>
    </row>
    <row r="409" spans="1:446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  <c r="QA409" s="69"/>
    </row>
    <row r="410" spans="1:446" ht="15" hidden="1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7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  <c r="QA410" s="54"/>
    </row>
    <row r="411" spans="1:446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53">
        <v>24</v>
      </c>
      <c r="QA411" s="110" t="s">
        <v>177</v>
      </c>
      <c r="QB411" s="68">
        <v>18</v>
      </c>
      <c r="QC411" s="3">
        <v>24</v>
      </c>
    </row>
    <row r="412" spans="1:446" ht="15" hidden="1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  <c r="QA412" s="111"/>
    </row>
    <row r="413" spans="1:446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53">
        <v>24</v>
      </c>
      <c r="QA413" s="110" t="s">
        <v>177</v>
      </c>
      <c r="QB413" s="68">
        <v>18</v>
      </c>
      <c r="QC413" s="3">
        <v>24</v>
      </c>
    </row>
    <row r="414" spans="1:446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53">
        <v>24</v>
      </c>
      <c r="QA414" s="110" t="s">
        <v>177</v>
      </c>
      <c r="QB414" s="68">
        <v>18</v>
      </c>
      <c r="QC414" s="3">
        <v>24</v>
      </c>
    </row>
    <row r="415" spans="1:446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53">
        <v>24</v>
      </c>
      <c r="QA415" s="110" t="s">
        <v>177</v>
      </c>
      <c r="QB415" s="68">
        <v>18</v>
      </c>
      <c r="QC415" s="3">
        <v>24</v>
      </c>
    </row>
    <row r="416" spans="1:446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53">
        <v>24</v>
      </c>
      <c r="QA416" s="110" t="s">
        <v>177</v>
      </c>
      <c r="QB416" s="68">
        <v>18</v>
      </c>
      <c r="QC416" s="3">
        <v>24</v>
      </c>
    </row>
    <row r="417" spans="1:446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53">
        <v>24</v>
      </c>
      <c r="QA417" s="110" t="s">
        <v>177</v>
      </c>
      <c r="QB417" s="68">
        <v>18</v>
      </c>
      <c r="QC417" s="3">
        <v>24</v>
      </c>
    </row>
    <row r="418" spans="1:446" ht="15" hidden="1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  <c r="QA418" s="69"/>
    </row>
    <row r="419" spans="1:446" ht="15" hidden="1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6" ht="15" hidden="1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6" ht="15" hidden="1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  <c r="QA421" s="54"/>
    </row>
    <row r="422" spans="1:446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53">
        <v>24</v>
      </c>
      <c r="QA422" s="110" t="s">
        <v>177</v>
      </c>
      <c r="QB422" s="68">
        <v>18</v>
      </c>
      <c r="QC422" s="3">
        <v>24</v>
      </c>
    </row>
    <row r="423" spans="1:446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53">
        <v>24</v>
      </c>
      <c r="QA423" s="110" t="s">
        <v>177</v>
      </c>
      <c r="QB423" s="68">
        <v>18</v>
      </c>
      <c r="QC423" s="3">
        <v>24</v>
      </c>
    </row>
    <row r="424" spans="1:446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53">
        <v>24</v>
      </c>
      <c r="QA424" s="110" t="s">
        <v>177</v>
      </c>
      <c r="QB424" s="68">
        <v>18</v>
      </c>
      <c r="QC424" s="3">
        <v>24</v>
      </c>
    </row>
    <row r="425" spans="1:446" ht="15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53">
        <v>24</v>
      </c>
      <c r="QA425" s="110" t="s">
        <v>177</v>
      </c>
      <c r="QB425" s="68">
        <v>18</v>
      </c>
      <c r="QC425" s="3">
        <v>24</v>
      </c>
    </row>
    <row r="426" spans="1:446" ht="15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53">
        <v>24</v>
      </c>
      <c r="QA426" s="110" t="s">
        <v>177</v>
      </c>
      <c r="QB426" s="68">
        <v>18</v>
      </c>
      <c r="QC426" s="3">
        <v>24</v>
      </c>
    </row>
    <row r="427" spans="1:446" ht="15" hidden="1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  <c r="QA427" s="69"/>
    </row>
    <row r="428" spans="1:446" ht="15" hidden="1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6" ht="15" hidden="1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6" ht="15" customHeight="1">
      <c r="A430" s="5">
        <v>53067407</v>
      </c>
      <c r="D430" s="5" t="s">
        <v>33</v>
      </c>
      <c r="E430" s="5">
        <v>60</v>
      </c>
      <c r="F430" s="9"/>
      <c r="G430" s="9">
        <v>46080</v>
      </c>
      <c r="K430" s="97">
        <f t="shared" si="323"/>
        <v>46100</v>
      </c>
      <c r="O430" s="71" t="s">
        <v>416</v>
      </c>
      <c r="QB430" s="68">
        <v>5</v>
      </c>
      <c r="QC430" s="68">
        <v>5</v>
      </c>
      <c r="QD430" s="68">
        <v>5</v>
      </c>
    </row>
    <row r="431" spans="1:446" ht="15" customHeight="1">
      <c r="A431" s="63">
        <v>53066963</v>
      </c>
      <c r="B431" s="63"/>
      <c r="C431" s="102"/>
      <c r="D431" s="63" t="s">
        <v>33</v>
      </c>
      <c r="E431" s="63">
        <v>60</v>
      </c>
      <c r="F431" s="9"/>
      <c r="G431" s="9">
        <v>46080</v>
      </c>
      <c r="K431" s="97">
        <f t="shared" si="323"/>
        <v>46100</v>
      </c>
      <c r="O431" s="71" t="s">
        <v>416</v>
      </c>
      <c r="QB431" s="68">
        <v>5</v>
      </c>
      <c r="QC431" s="68">
        <v>5</v>
      </c>
      <c r="QD431" s="68">
        <v>5</v>
      </c>
    </row>
    <row r="432" spans="1:446" ht="15" customHeight="1">
      <c r="A432" s="5">
        <v>27837607</v>
      </c>
      <c r="B432" s="123" t="s">
        <v>480</v>
      </c>
      <c r="C432" s="5" t="s">
        <v>481</v>
      </c>
      <c r="D432" s="5" t="s">
        <v>33</v>
      </c>
      <c r="E432" s="5">
        <v>60</v>
      </c>
      <c r="F432" s="121"/>
      <c r="G432" s="9">
        <v>46085</v>
      </c>
      <c r="K432" s="97">
        <f t="shared" si="323"/>
        <v>46105</v>
      </c>
      <c r="O432" s="71" t="s">
        <v>416</v>
      </c>
      <c r="QB432" s="68">
        <v>5</v>
      </c>
      <c r="QC432" s="68">
        <v>5</v>
      </c>
      <c r="QD432" s="68">
        <v>5</v>
      </c>
    </row>
    <row r="433" spans="1:446" ht="15" customHeight="1">
      <c r="A433" s="5">
        <v>27837610</v>
      </c>
      <c r="B433" s="123" t="s">
        <v>482</v>
      </c>
      <c r="C433" s="5" t="s">
        <v>483</v>
      </c>
      <c r="D433" s="63" t="s">
        <v>33</v>
      </c>
      <c r="E433" s="63">
        <v>60</v>
      </c>
      <c r="F433" s="121"/>
      <c r="G433" s="9">
        <v>46085</v>
      </c>
      <c r="K433" s="97">
        <f t="shared" si="323"/>
        <v>46105</v>
      </c>
      <c r="O433" s="71" t="s">
        <v>416</v>
      </c>
      <c r="QB433" s="68">
        <v>5</v>
      </c>
      <c r="QC433" s="68">
        <v>5</v>
      </c>
      <c r="QD433" s="68">
        <v>5</v>
      </c>
    </row>
    <row r="434" spans="1:446" ht="15" customHeight="1">
      <c r="A434" s="5">
        <v>27837613</v>
      </c>
      <c r="B434" s="123" t="s">
        <v>484</v>
      </c>
      <c r="C434" s="5" t="s">
        <v>485</v>
      </c>
      <c r="D434" s="5" t="s">
        <v>33</v>
      </c>
      <c r="E434" s="5">
        <v>60</v>
      </c>
      <c r="F434" s="121"/>
      <c r="G434" s="9">
        <v>46085</v>
      </c>
      <c r="K434" s="97">
        <f t="shared" si="323"/>
        <v>46105</v>
      </c>
      <c r="O434" s="71" t="s">
        <v>416</v>
      </c>
      <c r="QB434" s="68">
        <v>5</v>
      </c>
      <c r="QC434" s="68">
        <v>5</v>
      </c>
      <c r="QD434" s="68">
        <v>5</v>
      </c>
    </row>
    <row r="435" spans="1:446" ht="15" customHeight="1">
      <c r="A435" s="5">
        <v>27837619</v>
      </c>
      <c r="B435" s="123" t="s">
        <v>486</v>
      </c>
      <c r="C435" s="5" t="s">
        <v>487</v>
      </c>
      <c r="D435" s="63" t="s">
        <v>33</v>
      </c>
      <c r="E435" s="63">
        <v>60</v>
      </c>
      <c r="F435" s="121"/>
      <c r="G435" s="9">
        <v>46085</v>
      </c>
      <c r="K435" s="97">
        <f t="shared" si="323"/>
        <v>46105</v>
      </c>
      <c r="O435" s="71" t="s">
        <v>416</v>
      </c>
      <c r="QB435" s="68">
        <v>5</v>
      </c>
      <c r="QC435" s="68">
        <v>5</v>
      </c>
      <c r="QD435" s="68">
        <v>5</v>
      </c>
    </row>
    <row r="436" spans="1:446" ht="15" customHeight="1">
      <c r="A436" s="5">
        <v>53067013</v>
      </c>
      <c r="B436" s="123" t="s">
        <v>488</v>
      </c>
      <c r="C436" s="5" t="s">
        <v>489</v>
      </c>
      <c r="D436" s="63" t="s">
        <v>33</v>
      </c>
      <c r="E436" s="63">
        <v>60</v>
      </c>
      <c r="F436" s="121"/>
      <c r="G436" s="9">
        <v>46085</v>
      </c>
      <c r="K436" s="97">
        <f t="shared" si="323"/>
        <v>46105</v>
      </c>
      <c r="O436" s="71" t="s">
        <v>416</v>
      </c>
      <c r="QB436" s="68">
        <v>5</v>
      </c>
      <c r="QC436" s="68">
        <v>5</v>
      </c>
      <c r="QD436" s="68">
        <v>5</v>
      </c>
    </row>
    <row r="437" spans="1:446" ht="15" customHeight="1">
      <c r="A437" s="5">
        <v>53044515</v>
      </c>
      <c r="B437" s="123" t="s">
        <v>490</v>
      </c>
      <c r="C437" s="59" t="s">
        <v>491</v>
      </c>
      <c r="D437" s="5" t="s">
        <v>33</v>
      </c>
      <c r="E437" s="5">
        <v>60</v>
      </c>
      <c r="F437" s="121"/>
      <c r="G437" s="9">
        <v>46085</v>
      </c>
      <c r="K437" s="97">
        <f t="shared" si="323"/>
        <v>46105</v>
      </c>
      <c r="O437" s="71" t="s">
        <v>416</v>
      </c>
      <c r="QB437" s="68">
        <v>5</v>
      </c>
      <c r="QC437" s="68">
        <v>5</v>
      </c>
      <c r="QD437" s="68">
        <v>5</v>
      </c>
    </row>
    <row r="438" spans="1:446" ht="15" customHeight="1">
      <c r="A438" s="95"/>
      <c r="B438" s="95"/>
      <c r="C438" s="103"/>
      <c r="D438" s="95"/>
      <c r="E438" s="95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75:XFB375 PU389:XFB389 PP395:PR395 NJ399:XFB399 NJ398:PR398 LN408:PR408 LN413:PR413 Q327:LB1048576 PU398:XFB398 PU369:XFB369 PU377:XFB377 PU386:XFB386 PU395:XFB395 PU400:XFB400 PU408:XFB408 LN409:XFB412 PU413:XFB413 NJ404:XFB407 LN414:XFB1048576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 G430:G437" name="Range1_2"/>
    <protectedRange sqref="NS394:NV394" name="Range3_3"/>
  </protectedRanges>
  <autoFilter ref="A1:XFB437" xr:uid="{00000000-0001-0000-0000-000000000000}">
    <filterColumn colId="14">
      <filters>
        <filter val="Running"/>
      </filters>
    </filterColumn>
  </autoFilter>
  <conditionalFormatting sqref="A214:A215">
    <cfRule type="expression" dxfId="58" priority="129">
      <formula>ISNUMBER(SEARCH("VSL",$G214))</formula>
    </cfRule>
  </conditionalFormatting>
  <conditionalFormatting sqref="A400">
    <cfRule type="expression" dxfId="57" priority="77">
      <formula>$O400="Completed"</formula>
    </cfRule>
    <cfRule type="expression" dxfId="56" priority="78">
      <formula>$O400="Running"</formula>
    </cfRule>
    <cfRule type="expression" dxfId="55" priority="79">
      <formula>$O400="Pending"</formula>
    </cfRule>
    <cfRule type="expression" dxfId="54" priority="80">
      <formula>$O400="Put on Hold"</formula>
    </cfRule>
  </conditionalFormatting>
  <conditionalFormatting sqref="A296:B301">
    <cfRule type="expression" dxfId="53" priority="132">
      <formula>ISNUMBER(SEARCH("VSL",$G296))</formula>
    </cfRule>
  </conditionalFormatting>
  <conditionalFormatting sqref="A406:F408">
    <cfRule type="expression" dxfId="52" priority="39">
      <formula>$O406="Planned in sequence"</formula>
    </cfRule>
    <cfRule type="expression" dxfId="51" priority="40">
      <formula>$O406="Completed"</formula>
    </cfRule>
    <cfRule type="expression" dxfId="50" priority="41">
      <formula>$O406="Running"</formula>
    </cfRule>
    <cfRule type="expression" dxfId="49" priority="42">
      <formula>$O406="Pending"</formula>
    </cfRule>
    <cfRule type="expression" dxfId="48" priority="43">
      <formula>$O406="Put on Hold"</formula>
    </cfRule>
  </conditionalFormatting>
  <conditionalFormatting sqref="A2:J392 A393:P395 A396:J399 K396:P404 B400:K400 A401:J404 A405:P405 G406:P408 A409:P413 C414:P421 L2:P392 K400:K423 A422:P429 A438:P9999 A430:N431 O430:P437 D432:N437">
    <cfRule type="expression" dxfId="47" priority="89">
      <formula>$O2="Running"</formula>
    </cfRule>
    <cfRule type="expression" dxfId="46" priority="90">
      <formula>$O2="Pending"</formula>
    </cfRule>
  </conditionalFormatting>
  <conditionalFormatting sqref="A400:K400 K402:K423 A423:P429 A438:P9999 A430:N431 P430:P437 O431 O433 O435 O437 D432:N437">
    <cfRule type="expression" dxfId="45" priority="75">
      <formula>$O400="Planned in sequence"</formula>
    </cfRule>
  </conditionalFormatting>
  <conditionalFormatting sqref="A400:K400 A423:P429 A438:P9999 A430:N431 P430:P437 O431 O433 O435 O437 D432:N437">
    <cfRule type="expression" dxfId="44" priority="76">
      <formula>$O400="Dropped"</formula>
    </cfRule>
  </conditionalFormatting>
  <conditionalFormatting sqref="A396:J399 A401:J404 A2:P395 K396:P404">
    <cfRule type="expression" dxfId="43" priority="85">
      <formula>$O2="Dropped"</formula>
    </cfRule>
  </conditionalFormatting>
  <conditionalFormatting sqref="A396:J399 K396:P404 B400:K400 A401:J404 A405:P405 G406:P408 A409:P413 C414:P421 A2:P395 K400:K423 A422:P429 A438:P9999 A430:N431 O430:P437 D432:N437">
    <cfRule type="expression" dxfId="42" priority="86">
      <formula>$O2="Completed"</formula>
    </cfRule>
    <cfRule type="expression" dxfId="41" priority="92">
      <formula>$O2="Put on Hold"</formula>
    </cfRule>
  </conditionalFormatting>
  <conditionalFormatting sqref="A405:P405 G406:P408 A409:P413 A396:J399 A401:J404 A422:P422 C414:P421 A2:P395 K396:P404">
    <cfRule type="expression" dxfId="40" priority="84">
      <formula>$O2="Planned in sequence"</formula>
    </cfRule>
  </conditionalFormatting>
  <conditionalFormatting sqref="C413">
    <cfRule type="expression" dxfId="39" priority="34">
      <formula>$O413="Planned in sequence"</formula>
    </cfRule>
    <cfRule type="expression" dxfId="38" priority="35">
      <formula>$O413="Completed"</formula>
    </cfRule>
    <cfRule type="expression" dxfId="37" priority="36">
      <formula>$O413="Running"</formula>
    </cfRule>
    <cfRule type="expression" dxfId="36" priority="37">
      <formula>$O413="Pending"</formula>
    </cfRule>
    <cfRule type="expression" dxfId="35" priority="38">
      <formula>$O413="Put on Hold"</formula>
    </cfRule>
  </conditionalFormatting>
  <conditionalFormatting sqref="K2:K9999">
    <cfRule type="expression" dxfId="34" priority="74">
      <formula>AND(K2&lt;&gt;"",K2&gt;TODAY())</formula>
    </cfRule>
  </conditionalFormatting>
  <conditionalFormatting sqref="A405:P413 A422:P422 C414:P421 K402:K437">
    <cfRule type="expression" dxfId="33" priority="50">
      <formula>$O402="Dropped"</formula>
    </cfRule>
  </conditionalFormatting>
  <conditionalFormatting sqref="M2:M10007">
    <cfRule type="cellIs" dxfId="32" priority="95" operator="greaterThan">
      <formula>2</formula>
    </cfRule>
  </conditionalFormatting>
  <conditionalFormatting sqref="C422:C423">
    <cfRule type="expression" dxfId="31" priority="32">
      <formula>$O422="Planned in sequence"</formula>
    </cfRule>
  </conditionalFormatting>
  <conditionalFormatting sqref="C422:C423">
    <cfRule type="expression" dxfId="30" priority="31">
      <formula>$O422="Dropped"</formula>
    </cfRule>
  </conditionalFormatting>
  <conditionalFormatting sqref="C422">
    <cfRule type="expression" dxfId="29" priority="29">
      <formula>$O422="Planned in sequence"</formula>
    </cfRule>
  </conditionalFormatting>
  <conditionalFormatting sqref="C422">
    <cfRule type="expression" dxfId="28" priority="30">
      <formula>$O422="Dropped"</formula>
    </cfRule>
  </conditionalFormatting>
  <conditionalFormatting sqref="A414:B416 B417">
    <cfRule type="expression" dxfId="27" priority="26">
      <formula>$O414="Running"</formula>
    </cfRule>
    <cfRule type="expression" dxfId="26" priority="27">
      <formula>$O414="Pending"</formula>
    </cfRule>
  </conditionalFormatting>
  <conditionalFormatting sqref="A414:B416 B417">
    <cfRule type="expression" dxfId="25" priority="25">
      <formula>$O414="Completed"</formula>
    </cfRule>
    <cfRule type="expression" dxfId="24" priority="28">
      <formula>$O414="Put on Hold"</formula>
    </cfRule>
  </conditionalFormatting>
  <conditionalFormatting sqref="A414:B416 B417">
    <cfRule type="expression" dxfId="23" priority="24">
      <formula>$O414="Planned in sequence"</formula>
    </cfRule>
  </conditionalFormatting>
  <conditionalFormatting sqref="A414:B416 B417">
    <cfRule type="expression" dxfId="22" priority="23">
      <formula>$O414="Dropped"</formula>
    </cfRule>
  </conditionalFormatting>
  <conditionalFormatting sqref="A417">
    <cfRule type="expression" dxfId="21" priority="20">
      <formula>$O417="Running"</formula>
    </cfRule>
    <cfRule type="expression" dxfId="20" priority="21">
      <formula>$O417="Pending"</formula>
    </cfRule>
  </conditionalFormatting>
  <conditionalFormatting sqref="A417">
    <cfRule type="expression" dxfId="19" priority="17">
      <formula>$O417="Planned in sequence"</formula>
    </cfRule>
  </conditionalFormatting>
  <conditionalFormatting sqref="A417">
    <cfRule type="expression" dxfId="18" priority="18">
      <formula>$O417="Dropped"</formula>
    </cfRule>
  </conditionalFormatting>
  <conditionalFormatting sqref="A417">
    <cfRule type="expression" dxfId="17" priority="19">
      <formula>$O417="Completed"</formula>
    </cfRule>
    <cfRule type="expression" dxfId="16" priority="22">
      <formula>$O417="Put on Hold"</formula>
    </cfRule>
  </conditionalFormatting>
  <conditionalFormatting sqref="A418:B421">
    <cfRule type="expression" dxfId="15" priority="14">
      <formula>$O418="Running"</formula>
    </cfRule>
    <cfRule type="expression" dxfId="14" priority="15">
      <formula>$O418="Pending"</formula>
    </cfRule>
  </conditionalFormatting>
  <conditionalFormatting sqref="A418:B421">
    <cfRule type="expression" dxfId="13" priority="11">
      <formula>$O418="Planned in sequence"</formula>
    </cfRule>
  </conditionalFormatting>
  <conditionalFormatting sqref="A418:B421">
    <cfRule type="expression" dxfId="12" priority="12">
      <formula>$O418="Dropped"</formula>
    </cfRule>
  </conditionalFormatting>
  <conditionalFormatting sqref="A418:B421">
    <cfRule type="expression" dxfId="11" priority="13">
      <formula>$O418="Completed"</formula>
    </cfRule>
    <cfRule type="expression" dxfId="10" priority="16">
      <formula>$O418="Put on Hold"</formula>
    </cfRule>
  </conditionalFormatting>
  <conditionalFormatting sqref="G423:G426">
    <cfRule type="expression" dxfId="9" priority="10">
      <formula>$O423="Planned in sequence"</formula>
    </cfRule>
  </conditionalFormatting>
  <conditionalFormatting sqref="G423:G426">
    <cfRule type="expression" dxfId="8" priority="9">
      <formula>$O423="Dropped"</formula>
    </cfRule>
  </conditionalFormatting>
  <conditionalFormatting sqref="O423:O426">
    <cfRule type="expression" dxfId="7" priority="8">
      <formula>$O423="Planned in sequence"</formula>
    </cfRule>
  </conditionalFormatting>
  <conditionalFormatting sqref="O423:O426">
    <cfRule type="expression" dxfId="6" priority="7">
      <formula>$O423="Dropped"</formula>
    </cfRule>
  </conditionalFormatting>
  <conditionalFormatting sqref="G430:G437">
    <cfRule type="expression" dxfId="5" priority="6">
      <formula>$O430="Planned in sequence"</formula>
    </cfRule>
  </conditionalFormatting>
  <conditionalFormatting sqref="G430:G437">
    <cfRule type="expression" dxfId="4" priority="5">
      <formula>$O430="Dropped"</formula>
    </cfRule>
  </conditionalFormatting>
  <conditionalFormatting sqref="O430 O432 O434 O436">
    <cfRule type="expression" dxfId="3" priority="4">
      <formula>$O430="Planned in sequence"</formula>
    </cfRule>
  </conditionalFormatting>
  <conditionalFormatting sqref="O430 O432 O434 O436">
    <cfRule type="expression" dxfId="2" priority="3">
      <formula>$O430="Dropped"</formula>
    </cfRule>
  </conditionalFormatting>
  <conditionalFormatting sqref="O431 O433 O435 O437">
    <cfRule type="expression" dxfId="1" priority="2">
      <formula>$O431="Planned in sequence"</formula>
    </cfRule>
  </conditionalFormatting>
  <conditionalFormatting sqref="O431 O433 O435 O437">
    <cfRule type="expression" dxfId="0" priority="1">
      <formula>$O431="Dropped"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D11" activePane="bottomRight" state="frozen"/>
      <selection pane="bottomRight" activeCell="D11" sqref="D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6" t="s">
        <v>492</v>
      </c>
      <c r="C1" s="117"/>
      <c r="D1" s="117"/>
      <c r="E1" s="117"/>
      <c r="F1" s="117"/>
      <c r="G1" s="117"/>
      <c r="H1" s="117"/>
      <c r="I1" s="117"/>
      <c r="J1" s="117"/>
      <c r="K1" s="117"/>
      <c r="L1" s="120" t="s">
        <v>493</v>
      </c>
      <c r="M1" s="120"/>
      <c r="N1" s="120"/>
      <c r="O1" s="120"/>
      <c r="P1" s="120"/>
      <c r="Q1" s="120"/>
    </row>
    <row r="2" spans="1:17">
      <c r="A2" s="39" t="s">
        <v>494</v>
      </c>
      <c r="B2" s="118"/>
      <c r="C2" s="119"/>
      <c r="D2" s="119"/>
      <c r="E2" s="119"/>
      <c r="F2" s="119"/>
      <c r="G2" s="119"/>
      <c r="H2" s="119"/>
      <c r="I2" s="119"/>
      <c r="J2" s="119"/>
      <c r="K2" s="119"/>
      <c r="L2" s="120"/>
      <c r="M2" s="120"/>
      <c r="N2" s="120"/>
      <c r="O2" s="120"/>
      <c r="P2" s="120"/>
      <c r="Q2" s="120"/>
    </row>
    <row r="3" spans="1:17" ht="16.5" customHeight="1">
      <c r="A3" s="114" t="s">
        <v>495</v>
      </c>
      <c r="B3" s="112" t="s">
        <v>496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3"/>
    </row>
    <row r="4" spans="1:17" ht="26.25" customHeight="1">
      <c r="A4" s="115"/>
      <c r="B4" s="48" t="s">
        <v>497</v>
      </c>
      <c r="C4" s="48" t="s">
        <v>498</v>
      </c>
      <c r="D4" s="48" t="s">
        <v>499</v>
      </c>
      <c r="E4" s="48" t="s">
        <v>500</v>
      </c>
      <c r="F4" s="48" t="s">
        <v>501</v>
      </c>
      <c r="G4" s="48" t="s">
        <v>502</v>
      </c>
      <c r="H4" s="48" t="s">
        <v>503</v>
      </c>
      <c r="I4" s="48" t="s">
        <v>504</v>
      </c>
      <c r="J4" s="48" t="s">
        <v>505</v>
      </c>
      <c r="K4" s="48" t="s">
        <v>506</v>
      </c>
      <c r="L4" s="49" t="s">
        <v>507</v>
      </c>
      <c r="M4" s="48" t="s">
        <v>508</v>
      </c>
      <c r="N4" s="48" t="s">
        <v>509</v>
      </c>
      <c r="O4" s="48" t="s">
        <v>510</v>
      </c>
      <c r="P4" s="48" t="s">
        <v>511</v>
      </c>
      <c r="Q4" s="50" t="s">
        <v>512</v>
      </c>
    </row>
    <row r="5" spans="1:17">
      <c r="A5" s="40" t="s">
        <v>513</v>
      </c>
      <c r="B5" s="36" t="s">
        <v>514</v>
      </c>
      <c r="C5" s="36" t="s">
        <v>514</v>
      </c>
      <c r="D5" s="36" t="s">
        <v>514</v>
      </c>
      <c r="E5" s="36" t="s">
        <v>514</v>
      </c>
      <c r="F5" s="38" t="s">
        <v>515</v>
      </c>
      <c r="G5" s="36" t="s">
        <v>514</v>
      </c>
      <c r="H5" s="38" t="s">
        <v>515</v>
      </c>
      <c r="I5" s="38" t="s">
        <v>515</v>
      </c>
      <c r="J5" s="38" t="s">
        <v>515</v>
      </c>
      <c r="K5" s="38" t="s">
        <v>515</v>
      </c>
      <c r="L5" s="38" t="s">
        <v>515</v>
      </c>
      <c r="M5" s="36" t="s">
        <v>514</v>
      </c>
      <c r="N5" s="35" t="s">
        <v>516</v>
      </c>
      <c r="O5" s="35" t="s">
        <v>516</v>
      </c>
      <c r="P5" s="38" t="s">
        <v>515</v>
      </c>
      <c r="Q5" s="41" t="s">
        <v>516</v>
      </c>
    </row>
    <row r="6" spans="1:17">
      <c r="A6" s="40" t="s">
        <v>517</v>
      </c>
      <c r="B6" s="36" t="s">
        <v>514</v>
      </c>
      <c r="C6" s="36" t="s">
        <v>514</v>
      </c>
      <c r="D6" s="36" t="s">
        <v>514</v>
      </c>
      <c r="E6" s="38" t="s">
        <v>515</v>
      </c>
      <c r="F6" s="38" t="s">
        <v>515</v>
      </c>
      <c r="G6" s="38" t="s">
        <v>515</v>
      </c>
      <c r="H6" s="35" t="s">
        <v>516</v>
      </c>
      <c r="I6" s="35" t="s">
        <v>516</v>
      </c>
      <c r="J6" s="38" t="s">
        <v>515</v>
      </c>
      <c r="K6" s="38" t="s">
        <v>515</v>
      </c>
      <c r="L6" s="36" t="s">
        <v>514</v>
      </c>
      <c r="M6" s="36" t="s">
        <v>514</v>
      </c>
      <c r="N6" s="35" t="s">
        <v>516</v>
      </c>
      <c r="O6" s="38" t="s">
        <v>515</v>
      </c>
      <c r="P6" s="38" t="s">
        <v>515</v>
      </c>
      <c r="Q6" s="42" t="s">
        <v>515</v>
      </c>
    </row>
    <row r="7" spans="1:17">
      <c r="A7" s="40" t="s">
        <v>518</v>
      </c>
      <c r="B7" s="38" t="s">
        <v>515</v>
      </c>
      <c r="C7" s="38" t="s">
        <v>515</v>
      </c>
      <c r="D7" s="38" t="s">
        <v>515</v>
      </c>
      <c r="E7" s="38" t="s">
        <v>515</v>
      </c>
      <c r="F7" s="38" t="s">
        <v>515</v>
      </c>
      <c r="G7" s="38" t="s">
        <v>515</v>
      </c>
      <c r="H7" s="36" t="s">
        <v>514</v>
      </c>
      <c r="I7" s="35" t="s">
        <v>516</v>
      </c>
      <c r="J7" s="38" t="s">
        <v>515</v>
      </c>
      <c r="K7" s="38" t="s">
        <v>515</v>
      </c>
      <c r="L7" s="37" t="s">
        <v>516</v>
      </c>
      <c r="M7" s="38" t="s">
        <v>515</v>
      </c>
      <c r="N7" s="38" t="s">
        <v>515</v>
      </c>
      <c r="O7" s="38" t="s">
        <v>515</v>
      </c>
      <c r="P7" s="38" t="s">
        <v>515</v>
      </c>
      <c r="Q7" s="42" t="s">
        <v>515</v>
      </c>
    </row>
    <row r="8" spans="1:17">
      <c r="A8" s="40" t="s">
        <v>519</v>
      </c>
      <c r="B8" s="38" t="s">
        <v>515</v>
      </c>
      <c r="C8" s="38" t="s">
        <v>515</v>
      </c>
      <c r="D8" s="38" t="s">
        <v>515</v>
      </c>
      <c r="E8" s="38" t="s">
        <v>515</v>
      </c>
      <c r="F8" s="38" t="s">
        <v>515</v>
      </c>
      <c r="G8" s="38" t="s">
        <v>515</v>
      </c>
      <c r="H8" s="36" t="s">
        <v>514</v>
      </c>
      <c r="I8" s="35" t="s">
        <v>516</v>
      </c>
      <c r="J8" s="36" t="s">
        <v>514</v>
      </c>
      <c r="K8" s="38" t="s">
        <v>515</v>
      </c>
      <c r="L8" s="35" t="s">
        <v>516</v>
      </c>
      <c r="M8" s="38" t="s">
        <v>515</v>
      </c>
      <c r="N8" s="38" t="s">
        <v>515</v>
      </c>
      <c r="O8" s="38" t="s">
        <v>515</v>
      </c>
      <c r="P8" s="38" t="s">
        <v>515</v>
      </c>
      <c r="Q8" s="42" t="s">
        <v>515</v>
      </c>
    </row>
    <row r="9" spans="1:17">
      <c r="A9" s="40" t="s">
        <v>520</v>
      </c>
      <c r="B9" s="38" t="s">
        <v>515</v>
      </c>
      <c r="C9" s="38" t="s">
        <v>515</v>
      </c>
      <c r="D9" s="36" t="s">
        <v>514</v>
      </c>
      <c r="E9" s="38" t="s">
        <v>515</v>
      </c>
      <c r="F9" s="38" t="s">
        <v>515</v>
      </c>
      <c r="G9" s="38" t="s">
        <v>515</v>
      </c>
      <c r="H9" s="38" t="s">
        <v>515</v>
      </c>
      <c r="I9" s="38" t="s">
        <v>515</v>
      </c>
      <c r="J9" s="38" t="s">
        <v>515</v>
      </c>
      <c r="K9" s="38" t="s">
        <v>515</v>
      </c>
      <c r="L9" s="36" t="s">
        <v>514</v>
      </c>
      <c r="M9" s="38" t="s">
        <v>515</v>
      </c>
      <c r="N9" s="35" t="s">
        <v>516</v>
      </c>
      <c r="O9" s="38" t="s">
        <v>515</v>
      </c>
      <c r="P9" s="38" t="s">
        <v>515</v>
      </c>
      <c r="Q9" s="42" t="s">
        <v>515</v>
      </c>
    </row>
    <row r="10" spans="1:17">
      <c r="A10" s="40" t="s">
        <v>521</v>
      </c>
      <c r="B10" s="38" t="s">
        <v>515</v>
      </c>
      <c r="C10" s="38" t="s">
        <v>515</v>
      </c>
      <c r="D10" s="36" t="s">
        <v>514</v>
      </c>
      <c r="E10" s="38" t="s">
        <v>515</v>
      </c>
      <c r="F10" s="38" t="s">
        <v>515</v>
      </c>
      <c r="G10" s="38" t="s">
        <v>515</v>
      </c>
      <c r="H10" s="38" t="s">
        <v>515</v>
      </c>
      <c r="I10" s="38" t="s">
        <v>515</v>
      </c>
      <c r="J10" s="38" t="s">
        <v>515</v>
      </c>
      <c r="K10" s="38" t="s">
        <v>515</v>
      </c>
      <c r="L10" s="38" t="s">
        <v>515</v>
      </c>
      <c r="M10" s="38" t="s">
        <v>515</v>
      </c>
      <c r="N10" s="35" t="s">
        <v>516</v>
      </c>
      <c r="O10" s="38" t="s">
        <v>515</v>
      </c>
      <c r="P10" s="38" t="s">
        <v>515</v>
      </c>
      <c r="Q10" s="42" t="s">
        <v>515</v>
      </c>
    </row>
    <row r="11" spans="1:17">
      <c r="A11" s="40" t="s">
        <v>522</v>
      </c>
      <c r="B11" s="38" t="s">
        <v>515</v>
      </c>
      <c r="C11" s="38" t="s">
        <v>515</v>
      </c>
      <c r="D11" s="36" t="s">
        <v>514</v>
      </c>
      <c r="E11" s="38" t="s">
        <v>515</v>
      </c>
      <c r="F11" s="38" t="s">
        <v>515</v>
      </c>
      <c r="G11" s="38" t="s">
        <v>515</v>
      </c>
      <c r="H11" s="38" t="s">
        <v>515</v>
      </c>
      <c r="I11" s="38" t="s">
        <v>515</v>
      </c>
      <c r="J11" s="38" t="s">
        <v>515</v>
      </c>
      <c r="K11" s="36" t="s">
        <v>514</v>
      </c>
      <c r="L11" s="38" t="s">
        <v>515</v>
      </c>
      <c r="M11" s="38" t="s">
        <v>515</v>
      </c>
      <c r="N11" s="35" t="s">
        <v>516</v>
      </c>
      <c r="O11" s="38" t="s">
        <v>515</v>
      </c>
      <c r="P11" s="38" t="s">
        <v>515</v>
      </c>
      <c r="Q11" s="42" t="s">
        <v>515</v>
      </c>
    </row>
    <row r="12" spans="1:17">
      <c r="A12" s="40" t="s">
        <v>523</v>
      </c>
      <c r="B12" s="38" t="s">
        <v>515</v>
      </c>
      <c r="C12" s="38" t="s">
        <v>515</v>
      </c>
      <c r="D12" s="36" t="s">
        <v>514</v>
      </c>
      <c r="E12" s="36" t="s">
        <v>514</v>
      </c>
      <c r="F12" s="38" t="s">
        <v>515</v>
      </c>
      <c r="G12" s="38" t="s">
        <v>515</v>
      </c>
      <c r="H12" s="38" t="s">
        <v>515</v>
      </c>
      <c r="I12" s="38" t="s">
        <v>515</v>
      </c>
      <c r="J12" s="38" t="s">
        <v>515</v>
      </c>
      <c r="K12" s="38" t="s">
        <v>515</v>
      </c>
      <c r="L12" s="35" t="s">
        <v>516</v>
      </c>
      <c r="M12" s="38" t="s">
        <v>515</v>
      </c>
      <c r="N12" s="35" t="s">
        <v>516</v>
      </c>
      <c r="O12" s="35" t="s">
        <v>516</v>
      </c>
      <c r="P12" s="38" t="s">
        <v>515</v>
      </c>
      <c r="Q12" s="42" t="s">
        <v>515</v>
      </c>
    </row>
    <row r="13" spans="1:17" ht="15" thickBot="1">
      <c r="A13" s="43" t="s">
        <v>524</v>
      </c>
      <c r="B13" s="44" t="s">
        <v>515</v>
      </c>
      <c r="C13" s="44" t="s">
        <v>515</v>
      </c>
      <c r="D13" s="45" t="s">
        <v>514</v>
      </c>
      <c r="E13" s="44" t="s">
        <v>515</v>
      </c>
      <c r="F13" s="44" t="s">
        <v>515</v>
      </c>
      <c r="G13" s="44" t="s">
        <v>515</v>
      </c>
      <c r="H13" s="44" t="s">
        <v>515</v>
      </c>
      <c r="I13" s="44" t="s">
        <v>515</v>
      </c>
      <c r="J13" s="44" t="s">
        <v>515</v>
      </c>
      <c r="K13" s="44" t="s">
        <v>515</v>
      </c>
      <c r="L13" s="45" t="s">
        <v>514</v>
      </c>
      <c r="M13" s="44" t="s">
        <v>515</v>
      </c>
      <c r="N13" s="46" t="s">
        <v>516</v>
      </c>
      <c r="O13" s="44" t="s">
        <v>515</v>
      </c>
      <c r="P13" s="44" t="s">
        <v>515</v>
      </c>
      <c r="Q13" s="47" t="s">
        <v>515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E4" sqref="E4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525</v>
      </c>
      <c r="B1" s="32" t="s">
        <v>526</v>
      </c>
      <c r="C1" s="32" t="s">
        <v>527</v>
      </c>
      <c r="D1" s="98" t="s">
        <v>528</v>
      </c>
      <c r="E1" s="99" t="s">
        <v>529</v>
      </c>
      <c r="F1" s="99" t="s">
        <v>530</v>
      </c>
    </row>
    <row r="2" spans="1:6">
      <c r="A2" s="33">
        <v>1</v>
      </c>
      <c r="B2" s="100">
        <v>45939</v>
      </c>
      <c r="C2" s="101">
        <v>0.5</v>
      </c>
      <c r="D2" s="105" t="s">
        <v>531</v>
      </c>
      <c r="E2" s="52" t="s">
        <v>532</v>
      </c>
      <c r="F2" s="107"/>
    </row>
    <row r="3" spans="1:6">
      <c r="A3" s="33">
        <v>2</v>
      </c>
      <c r="B3" s="33" t="s">
        <v>533</v>
      </c>
      <c r="C3" s="56">
        <v>0.33333333333333331</v>
      </c>
      <c r="D3" s="106" t="s">
        <v>534</v>
      </c>
      <c r="E3" s="71" t="s">
        <v>535</v>
      </c>
      <c r="F3" s="108" t="s">
        <v>536</v>
      </c>
    </row>
    <row r="4" spans="1:6">
      <c r="A4" s="33">
        <v>3</v>
      </c>
      <c r="B4" s="34" t="s">
        <v>537</v>
      </c>
      <c r="C4" s="64">
        <v>0.45833333333333331</v>
      </c>
      <c r="D4" s="66" t="s">
        <v>534</v>
      </c>
      <c r="E4" s="51" t="s">
        <v>538</v>
      </c>
      <c r="F4" s="34" t="s">
        <v>539</v>
      </c>
    </row>
    <row r="5" spans="1:6">
      <c r="A5" s="33">
        <v>4</v>
      </c>
      <c r="B5" s="34" t="s">
        <v>540</v>
      </c>
      <c r="C5" s="64">
        <v>0.25</v>
      </c>
      <c r="D5" s="34" t="s">
        <v>541</v>
      </c>
      <c r="E5" s="34" t="s">
        <v>535</v>
      </c>
      <c r="F5" s="34" t="s">
        <v>539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2026-03-06T08:35:09Z</dcterms:modified>
  <cp:category/>
  <cp:contentStatus/>
</cp:coreProperties>
</file>